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bzalhussain\Downloads\"/>
    </mc:Choice>
  </mc:AlternateContent>
  <xr:revisionPtr revIDLastSave="0" documentId="13_ncr:1_{68B1A60A-9FB7-4705-857B-462250EA0D1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 Data" sheetId="1" r:id="rId1"/>
    <sheet name="Brand Summary" sheetId="2" r:id="rId2"/>
    <sheet name="Platform Comparis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3" l="1"/>
  <c r="E3" i="3"/>
  <c r="E4" i="3"/>
  <c r="D2" i="3"/>
  <c r="D3" i="3"/>
  <c r="D4" i="3"/>
  <c r="C2" i="3"/>
  <c r="C3" i="3"/>
  <c r="C4" i="3"/>
  <c r="B2" i="3" a="1"/>
  <c r="B2" i="3" s="1"/>
  <c r="B3" i="3" a="1"/>
  <c r="B3" i="3" s="1"/>
  <c r="B4" i="3" a="1"/>
  <c r="B4" i="3" s="1"/>
  <c r="E2" i="2"/>
  <c r="E3" i="2"/>
  <c r="E4" i="2"/>
  <c r="E5" i="2"/>
  <c r="E6" i="2"/>
  <c r="E7" i="2"/>
  <c r="E8" i="2"/>
  <c r="E9" i="2"/>
  <c r="E10" i="2"/>
  <c r="E11" i="2"/>
  <c r="F9" i="2"/>
  <c r="F4" i="2"/>
  <c r="F2" i="2"/>
  <c r="F11" i="2"/>
  <c r="F7" i="2"/>
  <c r="F10" i="2"/>
  <c r="F6" i="2"/>
  <c r="F8" i="2"/>
  <c r="F5" i="2"/>
  <c r="F3" i="2"/>
  <c r="D9" i="2"/>
  <c r="D3" i="2"/>
  <c r="D4" i="2"/>
  <c r="D2" i="2"/>
  <c r="D11" i="2"/>
  <c r="D7" i="2"/>
  <c r="D10" i="2"/>
  <c r="D6" i="2"/>
  <c r="D8" i="2"/>
  <c r="D5" i="2"/>
  <c r="C3" i="2"/>
  <c r="C9" i="2"/>
  <c r="C4" i="2"/>
  <c r="C2" i="2"/>
  <c r="C11" i="2"/>
  <c r="C7" i="2"/>
  <c r="C10" i="2"/>
  <c r="C6" i="2"/>
  <c r="C8" i="2"/>
  <c r="C5" i="2"/>
  <c r="B3" i="2"/>
  <c r="B9" i="2"/>
  <c r="B4" i="2"/>
  <c r="B2" i="2"/>
  <c r="B11" i="2"/>
  <c r="B7" i="2"/>
  <c r="B10" i="2"/>
  <c r="B6" i="2"/>
  <c r="B8" i="2"/>
  <c r="B5" i="2"/>
  <c r="I62" i="1"/>
  <c r="I53" i="1"/>
  <c r="I5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4" i="1"/>
  <c r="I55" i="1"/>
  <c r="I56" i="1"/>
  <c r="I57" i="1"/>
  <c r="I58" i="1"/>
  <c r="I59" i="1"/>
  <c r="I60" i="1"/>
  <c r="I61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<sst xmlns="http://schemas.openxmlformats.org/spreadsheetml/2006/main" count="785" uniqueCount="64">
  <si>
    <t>DateTime</t>
  </si>
  <si>
    <t>Platform</t>
  </si>
  <si>
    <t>Pin Code</t>
  </si>
  <si>
    <t>Area</t>
  </si>
  <si>
    <t>Brand</t>
  </si>
  <si>
    <t>Product Name</t>
  </si>
  <si>
    <t>MRP (₹)</t>
  </si>
  <si>
    <t>Selling Price (₹)</t>
  </si>
  <si>
    <t>Discount (%)</t>
  </si>
  <si>
    <t>Stock Status</t>
  </si>
  <si>
    <t>Delivery Time (min)</t>
  </si>
  <si>
    <t>Blinkit</t>
  </si>
  <si>
    <t>Indiranagar</t>
  </si>
  <si>
    <t>Dove</t>
  </si>
  <si>
    <t>Dove Intense Repair Shampoo 340ml</t>
  </si>
  <si>
    <t>In Stock</t>
  </si>
  <si>
    <t>Pantene</t>
  </si>
  <si>
    <t>Head &amp; Shoulders</t>
  </si>
  <si>
    <t>Head &amp; Shoulders Anti Dandruff Shampoo 340ml</t>
  </si>
  <si>
    <t>Clinic Plus</t>
  </si>
  <si>
    <t>Clinic Plus Strong &amp; Long Shampoo 340ml</t>
  </si>
  <si>
    <t>Tresemme</t>
  </si>
  <si>
    <t>L'Oreal Paris</t>
  </si>
  <si>
    <t>L'Oreal Paris Total Repair 5 Shampoo 340ml</t>
  </si>
  <si>
    <t>Sunsilk</t>
  </si>
  <si>
    <t>Indulekha</t>
  </si>
  <si>
    <t>Mamaearth</t>
  </si>
  <si>
    <t>Himalaya</t>
  </si>
  <si>
    <t>Koramangala</t>
  </si>
  <si>
    <t>Whitefield</t>
  </si>
  <si>
    <t>HSR Layout</t>
  </si>
  <si>
    <t>Jayanagar</t>
  </si>
  <si>
    <t>Zepto</t>
  </si>
  <si>
    <t>Swiggy Instamart</t>
  </si>
  <si>
    <t>Total SKUs</t>
  </si>
  <si>
    <t>Platforms Available</t>
  </si>
  <si>
    <t>Pin Codes Available</t>
  </si>
  <si>
    <t>Avg Discount (%)</t>
  </si>
  <si>
    <t>Out-of-Stock Count</t>
  </si>
  <si>
    <t>Total Brands Available</t>
  </si>
  <si>
    <t>Out-of-Stock Rate (%)</t>
  </si>
  <si>
    <t>Pantene Hair Science Hairfall Control Shampoo with Vitamin B 650 ml</t>
  </si>
  <si>
    <t>Tresemme Keratin Smooth Shampoo 180ml</t>
  </si>
  <si>
    <t>Sunsilk Stunning Black Shine Shampoo 350ml</t>
  </si>
  <si>
    <t>Indulekha Bringha Anti-Hairfall Shampoo 243ml</t>
  </si>
  <si>
    <t>Himalaya Anti-Hairfall Bhringaraja Shampoo 340ml</t>
  </si>
  <si>
    <t>Mamaearth Onion Shampoo 100ml</t>
  </si>
  <si>
    <t>Dove Hair Fall Rescue Shampoo 180ml</t>
  </si>
  <si>
    <t>Pantene Hair Science Lively Clean Shampoo 400ml</t>
  </si>
  <si>
    <t>Head &amp; Shoulders Anti-Dandruff Smooth &amp; Silky Shampoo 180ml</t>
  </si>
  <si>
    <t>Clinic Plus Strong &amp; Long Shampoo 175ml</t>
  </si>
  <si>
    <t>Tresemme Keratin Smooth Shampoo 185ml</t>
  </si>
  <si>
    <t>Sunsilk Radiant Black Shine Shampoo 180ml</t>
  </si>
  <si>
    <t>Indulekha Bringha Shampoo 100ml</t>
  </si>
  <si>
    <t>Mamaearth Onion Shampoo 1000ml</t>
  </si>
  <si>
    <t>Himalaya Anti Hair Fall Shampoo 340ml</t>
  </si>
  <si>
    <t>Dove Daily Shine Shampoo 340ml</t>
  </si>
  <si>
    <t>Pantene Hair Science Lively Clean Shampoo 650ml</t>
  </si>
  <si>
    <t>Head &amp; Shoulders Neem Anti Dandruff Shampoo 340ml</t>
  </si>
  <si>
    <t>Clinic Plus Strong &amp; Long Health Shampoo 340ml</t>
  </si>
  <si>
    <t>Tresemme Keratin Smooth Shampoo 580ml</t>
  </si>
  <si>
    <t>L'Oreal Paris Total Repair 5 Shampoo 180ml</t>
  </si>
  <si>
    <t>Sunsilk Radiant Black Shine Shampoo 350ml</t>
  </si>
  <si>
    <t>Total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</si>
</sst>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10" fontId="0" fillId="0" borderId="0" xfId="0" applyNumberFormat="1"/>
    <xf numFmtId="22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4" formatCode="0.00%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601980</xdr:colOff>
      <xdr:row>2</xdr:row>
      <xdr:rowOff>129540</xdr:rowOff>
    </xdr:from>
    <xdr:ext cx="3672840" cy="249174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D2A1D05-BE41-9A43-2FB8-E020E07ED1B4}"/>
            </a:ext>
          </a:extLst>
        </xdr:cNvPr>
        <xdr:cNvSpPr txBox="1"/>
      </xdr:nvSpPr>
      <xdr:spPr>
        <a:xfrm>
          <a:off x="9525000" y="495300"/>
          <a:ext cx="3672840" cy="249174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effectLst>
          <a:outerShdw blurRad="50800" dist="50800" dir="5400000" algn="ctr" rotWithShape="0">
            <a:schemeClr val="tx2"/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vl="0" algn="ctr"/>
          <a:r>
            <a:rPr lang="en-IN" sz="1400" b="1">
              <a:solidFill>
                <a:schemeClr val="tx2"/>
              </a:solidFill>
            </a:rPr>
            <a:t>Aanalytical</a:t>
          </a:r>
          <a:r>
            <a:rPr lang="en-IN" sz="1400" b="1" baseline="0">
              <a:solidFill>
                <a:schemeClr val="tx2"/>
              </a:solidFill>
            </a:rPr>
            <a:t> Observations</a:t>
          </a:r>
        </a:p>
        <a:p>
          <a:endParaRPr lang="en-IN" sz="1100">
            <a:solidFill>
              <a:schemeClr val="tx1"/>
            </a:solidFill>
          </a:endParaRPr>
        </a:p>
        <a:p>
          <a:pPr algn="l"/>
          <a:r>
            <a:rPr lang="en-IN" i="1">
              <a:solidFill>
                <a:schemeClr val="tx1"/>
              </a:solidFill>
            </a:rPr>
            <a:t>1. Pantene offers the highest average discount (40.19%), indicating aggressive pricing.</a:t>
          </a:r>
        </a:p>
        <a:p>
          <a:pPr algn="l"/>
          <a:br>
            <a:rPr lang="en-IN" i="1">
              <a:solidFill>
                <a:schemeClr val="tx1"/>
              </a:solidFill>
            </a:rPr>
          </a:br>
          <a:r>
            <a:rPr lang="en-IN" i="1">
              <a:solidFill>
                <a:schemeClr val="tx1"/>
              </a:solidFill>
            </a:rPr>
            <a:t>2. Indulekha shows minimal discounting (0.74%), suggesting premium positioning.</a:t>
          </a:r>
        </a:p>
        <a:p>
          <a:pPr algn="l"/>
          <a:br>
            <a:rPr lang="en-IN" i="1">
              <a:solidFill>
                <a:schemeClr val="tx1"/>
              </a:solidFill>
            </a:rPr>
          </a:br>
          <a:r>
            <a:rPr lang="en-IN" i="1">
              <a:solidFill>
                <a:schemeClr val="tx1"/>
              </a:solidFill>
            </a:rPr>
            <a:t>3. All brands were available across 3 platforms and 5 pin codes.</a:t>
          </a:r>
        </a:p>
        <a:p>
          <a:pPr algn="l"/>
          <a:br>
            <a:rPr lang="en-IN" i="1">
              <a:solidFill>
                <a:schemeClr val="tx1"/>
              </a:solidFill>
            </a:rPr>
          </a:br>
          <a:r>
            <a:rPr lang="en-IN" i="1">
              <a:solidFill>
                <a:schemeClr val="tx1"/>
              </a:solidFill>
            </a:rPr>
            <a:t>4. Mamaearth and Himalaya show consistent discounting above 24%.</a:t>
          </a:r>
          <a:endParaRPr lang="en-IN" sz="1100" i="1">
            <a:solidFill>
              <a:schemeClr val="tx1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845820</xdr:colOff>
      <xdr:row>5</xdr:row>
      <xdr:rowOff>22860</xdr:rowOff>
    </xdr:from>
    <xdr:ext cx="243840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D9E134E-5569-3ABD-CDF9-DA5BC318F8BC}"/>
            </a:ext>
          </a:extLst>
        </xdr:cNvPr>
        <xdr:cNvSpPr txBox="1"/>
      </xdr:nvSpPr>
      <xdr:spPr>
        <a:xfrm>
          <a:off x="10393680" y="937260"/>
          <a:ext cx="2438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9</xdr:col>
      <xdr:colOff>15240</xdr:colOff>
      <xdr:row>2</xdr:row>
      <xdr:rowOff>7620</xdr:rowOff>
    </xdr:from>
    <xdr:ext cx="3779520" cy="252984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2E1B239-FC27-A2C9-57BE-7DB9312E2FD2}"/>
            </a:ext>
          </a:extLst>
        </xdr:cNvPr>
        <xdr:cNvSpPr txBox="1"/>
      </xdr:nvSpPr>
      <xdr:spPr>
        <a:xfrm>
          <a:off x="8382000" y="373380"/>
          <a:ext cx="3779520" cy="252984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effectLst>
          <a:outerShdw blurRad="50800" dist="50800" dir="5400000" algn="ctr" rotWithShape="0">
            <a:schemeClr val="tx2"/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1200" b="1">
              <a:solidFill>
                <a:schemeClr val="tx2"/>
              </a:solidFill>
            </a:rPr>
            <a:t>Platform-Level Observations</a:t>
          </a:r>
        </a:p>
        <a:p>
          <a:pPr algn="ctr"/>
          <a:endParaRPr lang="en-IN" sz="1200" b="1"/>
        </a:p>
        <a:p>
          <a:r>
            <a:rPr lang="en-IN" sz="1200" i="1"/>
            <a:t>1</a:t>
          </a:r>
          <a:r>
            <a:rPr lang="en-IN" sz="1100" i="1"/>
            <a:t>. Swiggy Instamart offers the highest average discount (25.36%), indicating a more aggressive promotional strategy.</a:t>
          </a:r>
        </a:p>
        <a:p>
          <a:endParaRPr lang="en-IN" sz="1100" i="1"/>
        </a:p>
        <a:p>
          <a:r>
            <a:rPr lang="en-IN" sz="1100" i="1"/>
            <a:t>2. Blinkit maintains moderate discounting (19.26%),  balancing pricing and availability.</a:t>
          </a:r>
        </a:p>
        <a:p>
          <a:endParaRPr lang="en-IN" sz="1100" i="1"/>
        </a:p>
        <a:p>
          <a:r>
            <a:rPr lang="en-IN" sz="1100" i="1"/>
            <a:t>3. Zepto shows comparatively lower average discount (17.42%) among the three platforms.</a:t>
          </a:r>
        </a:p>
        <a:p>
          <a:endParaRPr lang="en-IN" sz="1100" i="1"/>
        </a:p>
        <a:p>
          <a:r>
            <a:rPr lang="en-IN" sz="1100" i="1"/>
            <a:t>4. All platforms maintained full SKU availability during the data collection period.</a:t>
          </a:r>
        </a:p>
        <a:p>
          <a:pPr algn="ctr"/>
          <a:endParaRPr lang="en-IN" sz="1200" b="1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D9C133-8C68-4C83-B185-E32E5BEC4E2E}" name="Data" displayName="Data" ref="A1:K151" totalsRowShown="0" headerRowDxfId="8">
  <autoFilter ref="A1:K151" xr:uid="{7AD9C133-8C68-4C83-B185-E32E5BEC4E2E}"/>
  <tableColumns count="11">
    <tableColumn id="1" xr3:uid="{84EEF675-DB65-4C7C-BEF3-E4FE3CDA7D76}" name="DateTime"/>
    <tableColumn id="2" xr3:uid="{8972704D-2D5B-46C9-BA27-E57A900E409F}" name="Platform"/>
    <tableColumn id="3" xr3:uid="{4AB32F09-A281-4530-8BA2-831F5A6F42DC}" name="Pin Code"/>
    <tableColumn id="4" xr3:uid="{52B7328F-5CE6-47A0-BAF6-C956B49C2D76}" name="Area"/>
    <tableColumn id="5" xr3:uid="{A2AB2598-626E-41DC-80BE-46FFB5C15AF4}" name="Brand"/>
    <tableColumn id="6" xr3:uid="{24386DFE-093F-42D6-B39C-592CC1653D3D}" name="Product Name"/>
    <tableColumn id="7" xr3:uid="{464EC80A-B3F4-41B9-BC97-4A9A0964D2E6}" name="MRP (₹)"/>
    <tableColumn id="8" xr3:uid="{19DDD179-E060-4E5C-9926-F192124A8EC4}" name="Selling Price (₹)"/>
    <tableColumn id="9" xr3:uid="{ED309F3E-0CA3-4C74-87FE-E1EB28FFF2B1}" name="Discount (%)">
      <calculatedColumnFormula>(Data[[#This Row],[MRP (₹)]]-Data[[#This Row],[Selling Price (₹)]])/Data[[#This Row],[MRP (₹)]]</calculatedColumnFormula>
    </tableColumn>
    <tableColumn id="10" xr3:uid="{AC424DC2-3910-4860-A78B-761029E283E1}" name="Stock Status"/>
    <tableColumn id="11" xr3:uid="{0A90F128-ED99-466C-A1AA-516C3B774B83}" name="Delivery Time (min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FFFD9B-8CEC-4D10-B05F-69BA77C5CF5F}" name="Brand" displayName="Brand" ref="A1:F11" totalsRowShown="0" headerRowDxfId="7">
  <autoFilter ref="A1:F11" xr:uid="{7DFFFD9B-8CEC-4D10-B05F-69BA77C5CF5F}"/>
  <sortState xmlns:xlrd2="http://schemas.microsoft.com/office/spreadsheetml/2017/richdata2" ref="A2:F11">
    <sortCondition ref="A1:A11"/>
  </sortState>
  <tableColumns count="6">
    <tableColumn id="1" xr3:uid="{95F15B84-9903-4126-BED5-5C7411D6D508}" name="Brand"/>
    <tableColumn id="2" xr3:uid="{318F99CE-C9BD-457F-AE29-36CEA9C7FA02}" name="Total Entries" dataDxfId="6">
      <calculatedColumnFormula>COUNTIF(Data[Brand],Brand[[#This Row],[Brand]])</calculatedColumnFormula>
    </tableColumn>
    <tableColumn id="3" xr3:uid="{EFAC9C15-824F-472D-9C5A-E343A4BA9E62}" name="Platforms Available">
      <calculatedColumnFormula>COUNTA(_xlfn.UNIQUE(Data[Platform]))</calculatedColumnFormula>
    </tableColumn>
    <tableColumn id="4" xr3:uid="{4994B8C5-A2BF-45D7-85CB-67F4680A5A98}" name="Pin Codes Available">
      <calculatedColumnFormula>COUNTA(_xlfn.UNIQUE(Data[Pin Code]))</calculatedColumnFormula>
    </tableColumn>
    <tableColumn id="5" xr3:uid="{ACB57B6A-FF56-4925-983B-DDDBDBBDB0AB}" name="Avg Discount (%)" dataDxfId="5">
      <calculatedColumnFormula>AVERAGEIF(Data[Brand],Brand[[#This Row],[Brand]],Data[Discount (%)])</calculatedColumnFormula>
    </tableColumn>
    <tableColumn id="6" xr3:uid="{A5C4A650-831B-4625-A39B-FF9AC071B54D}" name="Out-of-Stock Count">
      <calculatedColumnFormula>COUNTIFS(Data[Brand],Brand[[#This Row],[Brand]], Data[Stock Status],"Out of Stock")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B9A557-ADBB-400A-BCA6-919AE8EF4B83}" name="Table4" displayName="Table4" ref="A1:E4" totalsRowShown="0" headerRowDxfId="4">
  <tableColumns count="5">
    <tableColumn id="1" xr3:uid="{4C170524-A766-4B64-BC40-9CD699D0E210}" name="Platform"/>
    <tableColumn id="2" xr3:uid="{4E31CA7F-537F-46B0-9C33-B5CDFB622514}" name="Total Brands Available" dataDxfId="3">
      <calculatedColumnFormula array="1">COUNTA(_xlfn.UNIQUE(_xlfn._xlws.FILTER(Data[Brand],Data[Platform]=Table4[[#This Row],[Platform]])))</calculatedColumnFormula>
    </tableColumn>
    <tableColumn id="3" xr3:uid="{803BFE4B-C915-4D1F-A5AD-A5B63E9E3A52}" name="Total SKUs" dataDxfId="2">
      <calculatedColumnFormula>COUNTIF(Data[Platform],Table4[[#This Row],[Platform]])</calculatedColumnFormula>
    </tableColumn>
    <tableColumn id="4" xr3:uid="{2BC8F03C-6AB7-48FA-AC14-D8850E3C95CA}" name="Avg Discount (%)" dataDxfId="1">
      <calculatedColumnFormula>AVERAGEIF(Data[Platform],Table4[[#This Row],[Platform]],Data[Discount (%)])</calculatedColumnFormula>
    </tableColumn>
    <tableColumn id="5" xr3:uid="{01B0B386-EDC1-40F6-A9BC-F98EA14CFF6D}" name="Out-of-Stock Rate (%)" dataDxfId="0">
      <calculatedColumnFormula>COUNTIFS(Data[Platform],Table4[[#This Row],[Platform]],Data[Stock Status],"Out of Stock")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workbookViewId="0">
      <selection activeCell="C154" sqref="C154"/>
    </sheetView>
  </sheetViews>
  <sheetFormatPr defaultRowHeight="14.4" x14ac:dyDescent="0.3"/>
  <cols>
    <col min="1" max="1" width="15.44140625" bestFit="1" customWidth="1"/>
    <col min="2" max="2" width="14.88671875" bestFit="1" customWidth="1"/>
    <col min="3" max="3" width="10.33203125" customWidth="1"/>
    <col min="4" max="4" width="11.6640625" bestFit="1" customWidth="1"/>
    <col min="5" max="5" width="15.44140625" bestFit="1" customWidth="1"/>
    <col min="6" max="6" width="58.44140625" bestFit="1" customWidth="1"/>
    <col min="7" max="7" width="9.6640625" customWidth="1"/>
    <col min="8" max="8" width="15.6640625" customWidth="1"/>
    <col min="9" max="9" width="13.77734375" bestFit="1" customWidth="1"/>
    <col min="10" max="10" width="13.21875" customWidth="1"/>
    <col min="11" max="11" width="19.2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5">
        <v>46084.404861111114</v>
      </c>
      <c r="B2" t="s">
        <v>11</v>
      </c>
      <c r="C2">
        <v>560038</v>
      </c>
      <c r="D2" t="s">
        <v>12</v>
      </c>
      <c r="E2" t="s">
        <v>13</v>
      </c>
      <c r="F2" t="s">
        <v>14</v>
      </c>
      <c r="G2" s="3">
        <v>435</v>
      </c>
      <c r="H2" s="3">
        <v>324</v>
      </c>
      <c r="I2" s="4">
        <f>(Data[[#This Row],[MRP (₹)]]-Data[[#This Row],[Selling Price (₹)]])/Data[[#This Row],[MRP (₹)]]</f>
        <v>0.25517241379310346</v>
      </c>
      <c r="J2" t="s">
        <v>15</v>
      </c>
      <c r="K2" s="2">
        <v>11</v>
      </c>
    </row>
    <row r="3" spans="1:11" x14ac:dyDescent="0.3">
      <c r="A3" s="5">
        <v>46084.408333333333</v>
      </c>
      <c r="B3" t="s">
        <v>11</v>
      </c>
      <c r="C3">
        <v>560038</v>
      </c>
      <c r="D3" t="s">
        <v>12</v>
      </c>
      <c r="E3" t="s">
        <v>16</v>
      </c>
      <c r="F3" t="s">
        <v>41</v>
      </c>
      <c r="G3" s="3">
        <v>899</v>
      </c>
      <c r="H3" s="3">
        <v>465</v>
      </c>
      <c r="I3" s="4">
        <f>(Data[[#This Row],[MRP (₹)]]-Data[[#This Row],[Selling Price (₹)]])/Data[[#This Row],[MRP (₹)]]</f>
        <v>0.48275862068965519</v>
      </c>
      <c r="J3" t="s">
        <v>15</v>
      </c>
      <c r="K3" s="2">
        <v>9</v>
      </c>
    </row>
    <row r="4" spans="1:11" x14ac:dyDescent="0.3">
      <c r="A4" s="5">
        <v>46084.410416666666</v>
      </c>
      <c r="B4" t="s">
        <v>11</v>
      </c>
      <c r="C4">
        <v>560038</v>
      </c>
      <c r="D4" t="s">
        <v>12</v>
      </c>
      <c r="E4" t="s">
        <v>17</v>
      </c>
      <c r="F4" t="s">
        <v>18</v>
      </c>
      <c r="G4" s="3">
        <v>395</v>
      </c>
      <c r="H4" s="3">
        <v>305</v>
      </c>
      <c r="I4" s="4">
        <f>(Data[[#This Row],[MRP (₹)]]-Data[[#This Row],[Selling Price (₹)]])/Data[[#This Row],[MRP (₹)]]</f>
        <v>0.22784810126582278</v>
      </c>
      <c r="J4" t="s">
        <v>15</v>
      </c>
      <c r="K4" s="2">
        <v>8</v>
      </c>
    </row>
    <row r="5" spans="1:11" x14ac:dyDescent="0.3">
      <c r="A5" s="5">
        <v>46084.411111111112</v>
      </c>
      <c r="B5" t="s">
        <v>11</v>
      </c>
      <c r="C5">
        <v>560038</v>
      </c>
      <c r="D5" t="s">
        <v>12</v>
      </c>
      <c r="E5" t="s">
        <v>19</v>
      </c>
      <c r="F5" t="s">
        <v>20</v>
      </c>
      <c r="G5" s="3">
        <v>340</v>
      </c>
      <c r="H5" s="3">
        <v>254</v>
      </c>
      <c r="I5" s="4">
        <f>(Data[[#This Row],[MRP (₹)]]-Data[[#This Row],[Selling Price (₹)]])/Data[[#This Row],[MRP (₹)]]</f>
        <v>0.25294117647058822</v>
      </c>
      <c r="J5" t="s">
        <v>15</v>
      </c>
      <c r="K5" s="2">
        <v>8</v>
      </c>
    </row>
    <row r="6" spans="1:11" x14ac:dyDescent="0.3">
      <c r="A6" s="5">
        <v>46084.412499999999</v>
      </c>
      <c r="B6" t="s">
        <v>11</v>
      </c>
      <c r="C6">
        <v>560038</v>
      </c>
      <c r="D6" t="s">
        <v>12</v>
      </c>
      <c r="E6" t="s">
        <v>21</v>
      </c>
      <c r="F6" t="s">
        <v>42</v>
      </c>
      <c r="G6" s="3">
        <v>172</v>
      </c>
      <c r="H6" s="3">
        <v>172</v>
      </c>
      <c r="I6" s="4">
        <f>(Data[[#This Row],[MRP (₹)]]-Data[[#This Row],[Selling Price (₹)]])/Data[[#This Row],[MRP (₹)]]</f>
        <v>0</v>
      </c>
      <c r="J6" t="s">
        <v>15</v>
      </c>
      <c r="K6" s="2">
        <v>8</v>
      </c>
    </row>
    <row r="7" spans="1:11" x14ac:dyDescent="0.3">
      <c r="A7" s="5">
        <v>46084.413194444445</v>
      </c>
      <c r="B7" t="s">
        <v>11</v>
      </c>
      <c r="C7">
        <v>560038</v>
      </c>
      <c r="D7" t="s">
        <v>12</v>
      </c>
      <c r="E7" t="s">
        <v>22</v>
      </c>
      <c r="F7" t="s">
        <v>23</v>
      </c>
      <c r="G7" s="3">
        <v>415</v>
      </c>
      <c r="H7" s="3">
        <v>301</v>
      </c>
      <c r="I7" s="4">
        <f>(Data[[#This Row],[MRP (₹)]]-Data[[#This Row],[Selling Price (₹)]])/Data[[#This Row],[MRP (₹)]]</f>
        <v>0.27469879518072288</v>
      </c>
      <c r="J7" t="s">
        <v>15</v>
      </c>
      <c r="K7" s="2">
        <v>13</v>
      </c>
    </row>
    <row r="8" spans="1:11" x14ac:dyDescent="0.3">
      <c r="A8" s="5">
        <v>46084.413888888892</v>
      </c>
      <c r="B8" t="s">
        <v>11</v>
      </c>
      <c r="C8">
        <v>560038</v>
      </c>
      <c r="D8" t="s">
        <v>12</v>
      </c>
      <c r="E8" t="s">
        <v>24</v>
      </c>
      <c r="F8" t="s">
        <v>43</v>
      </c>
      <c r="G8" s="3">
        <v>370</v>
      </c>
      <c r="H8" s="3">
        <v>276</v>
      </c>
      <c r="I8" s="4">
        <f>(Data[[#This Row],[MRP (₹)]]-Data[[#This Row],[Selling Price (₹)]])/Data[[#This Row],[MRP (₹)]]</f>
        <v>0.25405405405405407</v>
      </c>
      <c r="J8" t="s">
        <v>15</v>
      </c>
      <c r="K8" s="2">
        <v>11</v>
      </c>
    </row>
    <row r="9" spans="1:11" x14ac:dyDescent="0.3">
      <c r="A9" s="5">
        <v>46084.415972222225</v>
      </c>
      <c r="B9" t="s">
        <v>11</v>
      </c>
      <c r="C9">
        <v>560038</v>
      </c>
      <c r="D9" t="s">
        <v>12</v>
      </c>
      <c r="E9" t="s">
        <v>25</v>
      </c>
      <c r="F9" t="s">
        <v>44</v>
      </c>
      <c r="G9" s="3">
        <v>243</v>
      </c>
      <c r="H9" s="3">
        <v>243</v>
      </c>
      <c r="I9" s="4">
        <f>(Data[[#This Row],[MRP (₹)]]-Data[[#This Row],[Selling Price (₹)]])/Data[[#This Row],[MRP (₹)]]</f>
        <v>0</v>
      </c>
      <c r="J9" t="s">
        <v>15</v>
      </c>
      <c r="K9" s="2">
        <v>11</v>
      </c>
    </row>
    <row r="10" spans="1:11" ht="17.399999999999999" customHeight="1" x14ac:dyDescent="0.3">
      <c r="A10" s="5">
        <v>46084.415972222225</v>
      </c>
      <c r="B10" t="s">
        <v>11</v>
      </c>
      <c r="C10">
        <v>560038</v>
      </c>
      <c r="D10" t="s">
        <v>12</v>
      </c>
      <c r="E10" t="s">
        <v>26</v>
      </c>
      <c r="F10" t="s">
        <v>46</v>
      </c>
      <c r="G10" s="3">
        <v>114</v>
      </c>
      <c r="H10" s="3">
        <v>114</v>
      </c>
      <c r="I10" s="4">
        <f>(Data[[#This Row],[MRP (₹)]]-Data[[#This Row],[Selling Price (₹)]])/Data[[#This Row],[MRP (₹)]]</f>
        <v>0</v>
      </c>
      <c r="J10" t="s">
        <v>15</v>
      </c>
      <c r="K10" s="2">
        <v>12</v>
      </c>
    </row>
    <row r="11" spans="1:11" ht="37.200000000000003" customHeight="1" x14ac:dyDescent="0.3">
      <c r="A11" s="5">
        <v>46084.416666666664</v>
      </c>
      <c r="B11" t="s">
        <v>11</v>
      </c>
      <c r="C11">
        <v>560038</v>
      </c>
      <c r="D11" t="s">
        <v>12</v>
      </c>
      <c r="E11" t="s">
        <v>27</v>
      </c>
      <c r="F11" t="s">
        <v>45</v>
      </c>
      <c r="G11" s="3">
        <v>319</v>
      </c>
      <c r="H11" s="3">
        <v>262</v>
      </c>
      <c r="I11" s="4">
        <f>(Data[[#This Row],[MRP (₹)]]-Data[[#This Row],[Selling Price (₹)]])/Data[[#This Row],[MRP (₹)]]</f>
        <v>0.17868338557993729</v>
      </c>
      <c r="J11" t="s">
        <v>15</v>
      </c>
      <c r="K11" s="2">
        <v>11</v>
      </c>
    </row>
    <row r="12" spans="1:11" x14ac:dyDescent="0.3">
      <c r="A12" s="5">
        <v>46084.418055555558</v>
      </c>
      <c r="B12" t="s">
        <v>11</v>
      </c>
      <c r="C12">
        <v>560034</v>
      </c>
      <c r="D12" t="s">
        <v>28</v>
      </c>
      <c r="E12" t="s">
        <v>13</v>
      </c>
      <c r="F12" t="s">
        <v>14</v>
      </c>
      <c r="G12" s="3">
        <v>435</v>
      </c>
      <c r="H12" s="3">
        <v>324</v>
      </c>
      <c r="I12" s="4">
        <f>(Data[[#This Row],[MRP (₹)]]-Data[[#This Row],[Selling Price (₹)]])/Data[[#This Row],[MRP (₹)]]</f>
        <v>0.25517241379310346</v>
      </c>
      <c r="J12" t="s">
        <v>15</v>
      </c>
      <c r="K12" s="2">
        <v>12</v>
      </c>
    </row>
    <row r="13" spans="1:11" x14ac:dyDescent="0.3">
      <c r="A13" s="5">
        <v>46084.418055555558</v>
      </c>
      <c r="B13" t="s">
        <v>11</v>
      </c>
      <c r="C13">
        <v>560034</v>
      </c>
      <c r="D13" t="s">
        <v>28</v>
      </c>
      <c r="E13" t="s">
        <v>16</v>
      </c>
      <c r="F13" t="s">
        <v>41</v>
      </c>
      <c r="G13" s="3">
        <v>899</v>
      </c>
      <c r="H13" s="3">
        <v>465</v>
      </c>
      <c r="I13" s="4">
        <f>(Data[[#This Row],[MRP (₹)]]-Data[[#This Row],[Selling Price (₹)]])/Data[[#This Row],[MRP (₹)]]</f>
        <v>0.48275862068965519</v>
      </c>
      <c r="J13" t="s">
        <v>15</v>
      </c>
      <c r="K13" s="2">
        <v>5</v>
      </c>
    </row>
    <row r="14" spans="1:11" x14ac:dyDescent="0.3">
      <c r="A14" s="5">
        <v>46084.418055555558</v>
      </c>
      <c r="B14" t="s">
        <v>11</v>
      </c>
      <c r="C14">
        <v>560034</v>
      </c>
      <c r="D14" t="s">
        <v>28</v>
      </c>
      <c r="E14" t="s">
        <v>17</v>
      </c>
      <c r="F14" t="s">
        <v>18</v>
      </c>
      <c r="G14" s="3">
        <v>395</v>
      </c>
      <c r="H14" s="3">
        <v>305</v>
      </c>
      <c r="I14" s="4">
        <f>(Data[[#This Row],[MRP (₹)]]-Data[[#This Row],[Selling Price (₹)]])/Data[[#This Row],[MRP (₹)]]</f>
        <v>0.22784810126582278</v>
      </c>
      <c r="J14" t="s">
        <v>15</v>
      </c>
      <c r="K14" s="2">
        <v>11</v>
      </c>
    </row>
    <row r="15" spans="1:11" x14ac:dyDescent="0.3">
      <c r="A15" s="5">
        <v>46084.418055555558</v>
      </c>
      <c r="B15" t="s">
        <v>11</v>
      </c>
      <c r="C15">
        <v>560034</v>
      </c>
      <c r="D15" t="s">
        <v>28</v>
      </c>
      <c r="E15" t="s">
        <v>19</v>
      </c>
      <c r="F15" t="s">
        <v>20</v>
      </c>
      <c r="G15" s="3">
        <v>340</v>
      </c>
      <c r="H15" s="3">
        <v>254</v>
      </c>
      <c r="I15" s="4">
        <f>(Data[[#This Row],[MRP (₹)]]-Data[[#This Row],[Selling Price (₹)]])/Data[[#This Row],[MRP (₹)]]</f>
        <v>0.25294117647058822</v>
      </c>
      <c r="J15" t="s">
        <v>15</v>
      </c>
      <c r="K15" s="2">
        <v>12</v>
      </c>
    </row>
    <row r="16" spans="1:11" x14ac:dyDescent="0.3">
      <c r="A16" s="5">
        <v>46084.418055555558</v>
      </c>
      <c r="B16" t="s">
        <v>11</v>
      </c>
      <c r="C16">
        <v>560034</v>
      </c>
      <c r="D16" t="s">
        <v>28</v>
      </c>
      <c r="E16" t="s">
        <v>21</v>
      </c>
      <c r="F16" t="s">
        <v>42</v>
      </c>
      <c r="G16" s="3">
        <v>172</v>
      </c>
      <c r="H16" s="3">
        <v>172</v>
      </c>
      <c r="I16" s="4">
        <f>(Data[[#This Row],[MRP (₹)]]-Data[[#This Row],[Selling Price (₹)]])/Data[[#This Row],[MRP (₹)]]</f>
        <v>0</v>
      </c>
      <c r="J16" t="s">
        <v>15</v>
      </c>
      <c r="K16" s="2">
        <v>11</v>
      </c>
    </row>
    <row r="17" spans="1:11" x14ac:dyDescent="0.3">
      <c r="A17" s="5">
        <v>46084.420138888891</v>
      </c>
      <c r="B17" t="s">
        <v>11</v>
      </c>
      <c r="C17">
        <v>560034</v>
      </c>
      <c r="D17" t="s">
        <v>28</v>
      </c>
      <c r="E17" t="s">
        <v>22</v>
      </c>
      <c r="F17" t="s">
        <v>23</v>
      </c>
      <c r="G17" s="3">
        <v>415</v>
      </c>
      <c r="H17" s="3">
        <v>301</v>
      </c>
      <c r="I17" s="4">
        <f>(Data[[#This Row],[MRP (₹)]]-Data[[#This Row],[Selling Price (₹)]])/Data[[#This Row],[MRP (₹)]]</f>
        <v>0.27469879518072288</v>
      </c>
      <c r="J17" t="s">
        <v>15</v>
      </c>
      <c r="K17" s="2">
        <v>6</v>
      </c>
    </row>
    <row r="18" spans="1:11" x14ac:dyDescent="0.3">
      <c r="A18" s="5">
        <v>46084.420138888891</v>
      </c>
      <c r="B18" t="s">
        <v>11</v>
      </c>
      <c r="C18">
        <v>560034</v>
      </c>
      <c r="D18" t="s">
        <v>28</v>
      </c>
      <c r="E18" t="s">
        <v>24</v>
      </c>
      <c r="F18" t="s">
        <v>43</v>
      </c>
      <c r="G18" s="3">
        <v>370</v>
      </c>
      <c r="H18" s="3">
        <v>276</v>
      </c>
      <c r="I18" s="4">
        <f>(Data[[#This Row],[MRP (₹)]]-Data[[#This Row],[Selling Price (₹)]])/Data[[#This Row],[MRP (₹)]]</f>
        <v>0.25405405405405407</v>
      </c>
      <c r="J18" t="s">
        <v>15</v>
      </c>
      <c r="K18" s="2">
        <v>11</v>
      </c>
    </row>
    <row r="19" spans="1:11" x14ac:dyDescent="0.3">
      <c r="A19" s="5">
        <v>46084.420138888891</v>
      </c>
      <c r="B19" t="s">
        <v>11</v>
      </c>
      <c r="C19">
        <v>560034</v>
      </c>
      <c r="D19" t="s">
        <v>28</v>
      </c>
      <c r="E19" t="s">
        <v>25</v>
      </c>
      <c r="F19" t="s">
        <v>44</v>
      </c>
      <c r="G19" s="3">
        <v>243</v>
      </c>
      <c r="H19" s="3">
        <v>243</v>
      </c>
      <c r="I19" s="4">
        <f>(Data[[#This Row],[MRP (₹)]]-Data[[#This Row],[Selling Price (₹)]])/Data[[#This Row],[MRP (₹)]]</f>
        <v>0</v>
      </c>
      <c r="J19" t="s">
        <v>15</v>
      </c>
      <c r="K19" s="2">
        <v>11</v>
      </c>
    </row>
    <row r="20" spans="1:11" x14ac:dyDescent="0.3">
      <c r="A20" s="5">
        <v>46084.420138888891</v>
      </c>
      <c r="B20" t="s">
        <v>11</v>
      </c>
      <c r="C20">
        <v>560034</v>
      </c>
      <c r="D20" t="s">
        <v>28</v>
      </c>
      <c r="E20" t="s">
        <v>26</v>
      </c>
      <c r="F20" t="s">
        <v>46</v>
      </c>
      <c r="G20" s="3">
        <v>114</v>
      </c>
      <c r="H20" s="3">
        <v>114</v>
      </c>
      <c r="I20" s="4">
        <f>(Data[[#This Row],[MRP (₹)]]-Data[[#This Row],[Selling Price (₹)]])/Data[[#This Row],[MRP (₹)]]</f>
        <v>0</v>
      </c>
      <c r="J20" t="s">
        <v>15</v>
      </c>
      <c r="K20" s="2">
        <v>8</v>
      </c>
    </row>
    <row r="21" spans="1:11" ht="46.2" customHeight="1" x14ac:dyDescent="0.3">
      <c r="A21" s="5">
        <v>46084.420138888891</v>
      </c>
      <c r="B21" t="s">
        <v>11</v>
      </c>
      <c r="C21">
        <v>560034</v>
      </c>
      <c r="D21" t="s">
        <v>28</v>
      </c>
      <c r="E21" t="s">
        <v>27</v>
      </c>
      <c r="F21" t="s">
        <v>45</v>
      </c>
      <c r="G21" s="3">
        <v>319</v>
      </c>
      <c r="H21" s="3">
        <v>262</v>
      </c>
      <c r="I21" s="4">
        <f>(Data[[#This Row],[MRP (₹)]]-Data[[#This Row],[Selling Price (₹)]])/Data[[#This Row],[MRP (₹)]]</f>
        <v>0.17868338557993729</v>
      </c>
      <c r="J21" t="s">
        <v>15</v>
      </c>
      <c r="K21" s="2">
        <v>12</v>
      </c>
    </row>
    <row r="22" spans="1:11" x14ac:dyDescent="0.3">
      <c r="A22" s="5">
        <v>46084.42291666667</v>
      </c>
      <c r="B22" t="s">
        <v>11</v>
      </c>
      <c r="C22">
        <v>560066</v>
      </c>
      <c r="D22" t="s">
        <v>29</v>
      </c>
      <c r="E22" t="s">
        <v>13</v>
      </c>
      <c r="F22" t="s">
        <v>14</v>
      </c>
      <c r="G22" s="3">
        <v>435</v>
      </c>
      <c r="H22" s="3">
        <v>324</v>
      </c>
      <c r="I22" s="4">
        <f>(Data[[#This Row],[MRP (₹)]]-Data[[#This Row],[Selling Price (₹)]])/Data[[#This Row],[MRP (₹)]]</f>
        <v>0.25517241379310346</v>
      </c>
      <c r="J22" t="s">
        <v>15</v>
      </c>
      <c r="K22" s="2">
        <v>12</v>
      </c>
    </row>
    <row r="23" spans="1:11" x14ac:dyDescent="0.3">
      <c r="A23" s="5">
        <v>46084.42291666667</v>
      </c>
      <c r="B23" t="s">
        <v>11</v>
      </c>
      <c r="C23">
        <v>560066</v>
      </c>
      <c r="D23" t="s">
        <v>29</v>
      </c>
      <c r="E23" t="s">
        <v>16</v>
      </c>
      <c r="F23" t="s">
        <v>41</v>
      </c>
      <c r="G23" s="3">
        <v>899</v>
      </c>
      <c r="H23" s="3">
        <v>465</v>
      </c>
      <c r="I23" s="4">
        <f>(Data[[#This Row],[MRP (₹)]]-Data[[#This Row],[Selling Price (₹)]])/Data[[#This Row],[MRP (₹)]]</f>
        <v>0.48275862068965519</v>
      </c>
      <c r="J23" t="s">
        <v>15</v>
      </c>
      <c r="K23" s="2">
        <v>12</v>
      </c>
    </row>
    <row r="24" spans="1:11" x14ac:dyDescent="0.3">
      <c r="A24" s="5">
        <v>46084.42291666667</v>
      </c>
      <c r="B24" t="s">
        <v>11</v>
      </c>
      <c r="C24">
        <v>560066</v>
      </c>
      <c r="D24" t="s">
        <v>29</v>
      </c>
      <c r="E24" t="s">
        <v>17</v>
      </c>
      <c r="F24" t="s">
        <v>18</v>
      </c>
      <c r="G24" s="3">
        <v>395</v>
      </c>
      <c r="H24" s="3">
        <v>305</v>
      </c>
      <c r="I24" s="4">
        <f>(Data[[#This Row],[MRP (₹)]]-Data[[#This Row],[Selling Price (₹)]])/Data[[#This Row],[MRP (₹)]]</f>
        <v>0.22784810126582278</v>
      </c>
      <c r="J24" t="s">
        <v>15</v>
      </c>
      <c r="K24" s="2">
        <v>12</v>
      </c>
    </row>
    <row r="25" spans="1:11" x14ac:dyDescent="0.3">
      <c r="A25" s="5">
        <v>46084.42291666667</v>
      </c>
      <c r="B25" t="s">
        <v>11</v>
      </c>
      <c r="C25">
        <v>560066</v>
      </c>
      <c r="D25" t="s">
        <v>29</v>
      </c>
      <c r="E25" t="s">
        <v>19</v>
      </c>
      <c r="F25" t="s">
        <v>20</v>
      </c>
      <c r="G25" s="3">
        <v>340</v>
      </c>
      <c r="H25" s="3">
        <v>254</v>
      </c>
      <c r="I25" s="4">
        <f>(Data[[#This Row],[MRP (₹)]]-Data[[#This Row],[Selling Price (₹)]])/Data[[#This Row],[MRP (₹)]]</f>
        <v>0.25294117647058822</v>
      </c>
      <c r="J25" t="s">
        <v>15</v>
      </c>
      <c r="K25" s="2">
        <v>12</v>
      </c>
    </row>
    <row r="26" spans="1:11" x14ac:dyDescent="0.3">
      <c r="A26" s="5">
        <v>46084.42291666667</v>
      </c>
      <c r="B26" t="s">
        <v>11</v>
      </c>
      <c r="C26">
        <v>560066</v>
      </c>
      <c r="D26" t="s">
        <v>29</v>
      </c>
      <c r="E26" t="s">
        <v>21</v>
      </c>
      <c r="F26" t="s">
        <v>42</v>
      </c>
      <c r="G26" s="3">
        <v>172</v>
      </c>
      <c r="H26" s="3">
        <v>172</v>
      </c>
      <c r="I26" s="4">
        <f>(Data[[#This Row],[MRP (₹)]]-Data[[#This Row],[Selling Price (₹)]])/Data[[#This Row],[MRP (₹)]]</f>
        <v>0</v>
      </c>
      <c r="J26" t="s">
        <v>15</v>
      </c>
      <c r="K26" s="2">
        <v>12</v>
      </c>
    </row>
    <row r="27" spans="1:11" x14ac:dyDescent="0.3">
      <c r="A27" s="5">
        <v>46084.42291666667</v>
      </c>
      <c r="B27" t="s">
        <v>11</v>
      </c>
      <c r="C27">
        <v>560066</v>
      </c>
      <c r="D27" t="s">
        <v>29</v>
      </c>
      <c r="E27" t="s">
        <v>22</v>
      </c>
      <c r="F27" t="s">
        <v>23</v>
      </c>
      <c r="G27" s="3">
        <v>415</v>
      </c>
      <c r="H27" s="3">
        <v>301</v>
      </c>
      <c r="I27" s="4">
        <f>(Data[[#This Row],[MRP (₹)]]-Data[[#This Row],[Selling Price (₹)]])/Data[[#This Row],[MRP (₹)]]</f>
        <v>0.27469879518072288</v>
      </c>
      <c r="J27" t="s">
        <v>15</v>
      </c>
      <c r="K27" s="2">
        <v>12</v>
      </c>
    </row>
    <row r="28" spans="1:11" x14ac:dyDescent="0.3">
      <c r="A28" s="5">
        <v>46084.42291666667</v>
      </c>
      <c r="B28" t="s">
        <v>11</v>
      </c>
      <c r="C28">
        <v>560066</v>
      </c>
      <c r="D28" t="s">
        <v>29</v>
      </c>
      <c r="E28" t="s">
        <v>24</v>
      </c>
      <c r="F28" t="s">
        <v>43</v>
      </c>
      <c r="G28" s="3">
        <v>370</v>
      </c>
      <c r="H28" s="3">
        <v>276</v>
      </c>
      <c r="I28" s="4">
        <f>(Data[[#This Row],[MRP (₹)]]-Data[[#This Row],[Selling Price (₹)]])/Data[[#This Row],[MRP (₹)]]</f>
        <v>0.25405405405405407</v>
      </c>
      <c r="J28" t="s">
        <v>15</v>
      </c>
      <c r="K28" s="2">
        <v>12</v>
      </c>
    </row>
    <row r="29" spans="1:11" x14ac:dyDescent="0.3">
      <c r="A29" s="5">
        <v>46084.42291666667</v>
      </c>
      <c r="B29" t="s">
        <v>11</v>
      </c>
      <c r="C29">
        <v>560066</v>
      </c>
      <c r="D29" t="s">
        <v>29</v>
      </c>
      <c r="E29" t="s">
        <v>25</v>
      </c>
      <c r="F29" t="s">
        <v>44</v>
      </c>
      <c r="G29" s="3">
        <v>243</v>
      </c>
      <c r="H29" s="3">
        <v>243</v>
      </c>
      <c r="I29" s="4">
        <f>(Data[[#This Row],[MRP (₹)]]-Data[[#This Row],[Selling Price (₹)]])/Data[[#This Row],[MRP (₹)]]</f>
        <v>0</v>
      </c>
      <c r="J29" t="s">
        <v>15</v>
      </c>
      <c r="K29" s="2">
        <v>12</v>
      </c>
    </row>
    <row r="30" spans="1:11" x14ac:dyDescent="0.3">
      <c r="A30" s="5">
        <v>46084.42291666667</v>
      </c>
      <c r="B30" t="s">
        <v>11</v>
      </c>
      <c r="C30">
        <v>560066</v>
      </c>
      <c r="D30" t="s">
        <v>29</v>
      </c>
      <c r="E30" t="s">
        <v>26</v>
      </c>
      <c r="F30" t="s">
        <v>46</v>
      </c>
      <c r="G30" s="3">
        <v>114</v>
      </c>
      <c r="H30" s="3">
        <v>114</v>
      </c>
      <c r="I30" s="4">
        <f>(Data[[#This Row],[MRP (₹)]]-Data[[#This Row],[Selling Price (₹)]])/Data[[#This Row],[MRP (₹)]]</f>
        <v>0</v>
      </c>
      <c r="J30" t="s">
        <v>15</v>
      </c>
      <c r="K30" s="2">
        <v>12</v>
      </c>
    </row>
    <row r="31" spans="1:11" ht="45" customHeight="1" x14ac:dyDescent="0.3">
      <c r="A31" s="5">
        <v>46084.42291666667</v>
      </c>
      <c r="B31" t="s">
        <v>11</v>
      </c>
      <c r="C31">
        <v>560066</v>
      </c>
      <c r="D31" t="s">
        <v>29</v>
      </c>
      <c r="E31" t="s">
        <v>27</v>
      </c>
      <c r="F31" t="s">
        <v>45</v>
      </c>
      <c r="G31" s="3">
        <v>319</v>
      </c>
      <c r="H31" s="3">
        <v>262</v>
      </c>
      <c r="I31" s="4">
        <f>(Data[[#This Row],[MRP (₹)]]-Data[[#This Row],[Selling Price (₹)]])/Data[[#This Row],[MRP (₹)]]</f>
        <v>0.17868338557993729</v>
      </c>
      <c r="J31" t="s">
        <v>15</v>
      </c>
      <c r="K31" s="2">
        <v>12</v>
      </c>
    </row>
    <row r="32" spans="1:11" x14ac:dyDescent="0.3">
      <c r="A32" s="5">
        <v>46084.425000000003</v>
      </c>
      <c r="B32" t="s">
        <v>11</v>
      </c>
      <c r="C32">
        <v>560102</v>
      </c>
      <c r="D32" t="s">
        <v>30</v>
      </c>
      <c r="E32" t="s">
        <v>13</v>
      </c>
      <c r="F32" t="s">
        <v>14</v>
      </c>
      <c r="G32" s="3">
        <v>435</v>
      </c>
      <c r="H32" s="3">
        <v>324</v>
      </c>
      <c r="I32" s="4">
        <f>(Data[[#This Row],[MRP (₹)]]-Data[[#This Row],[Selling Price (₹)]])/Data[[#This Row],[MRP (₹)]]</f>
        <v>0.25517241379310346</v>
      </c>
      <c r="J32" t="s">
        <v>15</v>
      </c>
      <c r="K32" s="2">
        <v>11</v>
      </c>
    </row>
    <row r="33" spans="1:11" x14ac:dyDescent="0.3">
      <c r="A33" s="5">
        <v>46084.425000000003</v>
      </c>
      <c r="B33" t="s">
        <v>11</v>
      </c>
      <c r="C33">
        <v>560102</v>
      </c>
      <c r="D33" t="s">
        <v>30</v>
      </c>
      <c r="E33" t="s">
        <v>16</v>
      </c>
      <c r="F33" t="s">
        <v>41</v>
      </c>
      <c r="G33" s="3">
        <v>899</v>
      </c>
      <c r="H33" s="3">
        <v>465</v>
      </c>
      <c r="I33" s="4">
        <f>(Data[[#This Row],[MRP (₹)]]-Data[[#This Row],[Selling Price (₹)]])/Data[[#This Row],[MRP (₹)]]</f>
        <v>0.48275862068965519</v>
      </c>
      <c r="J33" t="s">
        <v>15</v>
      </c>
      <c r="K33" s="2">
        <v>11</v>
      </c>
    </row>
    <row r="34" spans="1:11" x14ac:dyDescent="0.3">
      <c r="A34" s="5">
        <v>46084.425000000003</v>
      </c>
      <c r="B34" t="s">
        <v>11</v>
      </c>
      <c r="C34">
        <v>560102</v>
      </c>
      <c r="D34" t="s">
        <v>30</v>
      </c>
      <c r="E34" t="s">
        <v>17</v>
      </c>
      <c r="F34" t="s">
        <v>18</v>
      </c>
      <c r="G34" s="3">
        <v>395</v>
      </c>
      <c r="H34" s="3">
        <v>305</v>
      </c>
      <c r="I34" s="4">
        <f>(Data[[#This Row],[MRP (₹)]]-Data[[#This Row],[Selling Price (₹)]])/Data[[#This Row],[MRP (₹)]]</f>
        <v>0.22784810126582278</v>
      </c>
      <c r="J34" t="s">
        <v>15</v>
      </c>
      <c r="K34" s="2">
        <v>11</v>
      </c>
    </row>
    <row r="35" spans="1:11" x14ac:dyDescent="0.3">
      <c r="A35" s="5">
        <v>46084.425000000003</v>
      </c>
      <c r="B35" t="s">
        <v>11</v>
      </c>
      <c r="C35">
        <v>560102</v>
      </c>
      <c r="D35" t="s">
        <v>30</v>
      </c>
      <c r="E35" t="s">
        <v>19</v>
      </c>
      <c r="F35" t="s">
        <v>20</v>
      </c>
      <c r="G35" s="3">
        <v>340</v>
      </c>
      <c r="H35" s="3">
        <v>254</v>
      </c>
      <c r="I35" s="4">
        <f>(Data[[#This Row],[MRP (₹)]]-Data[[#This Row],[Selling Price (₹)]])/Data[[#This Row],[MRP (₹)]]</f>
        <v>0.25294117647058822</v>
      </c>
      <c r="J35" t="s">
        <v>15</v>
      </c>
      <c r="K35" s="2">
        <v>11</v>
      </c>
    </row>
    <row r="36" spans="1:11" x14ac:dyDescent="0.3">
      <c r="A36" s="5">
        <v>46084.425000000003</v>
      </c>
      <c r="B36" t="s">
        <v>11</v>
      </c>
      <c r="C36">
        <v>560102</v>
      </c>
      <c r="D36" t="s">
        <v>30</v>
      </c>
      <c r="E36" t="s">
        <v>21</v>
      </c>
      <c r="F36" t="s">
        <v>42</v>
      </c>
      <c r="G36" s="3">
        <v>172</v>
      </c>
      <c r="H36" s="3">
        <v>172</v>
      </c>
      <c r="I36" s="4">
        <f>(Data[[#This Row],[MRP (₹)]]-Data[[#This Row],[Selling Price (₹)]])/Data[[#This Row],[MRP (₹)]]</f>
        <v>0</v>
      </c>
      <c r="J36" t="s">
        <v>15</v>
      </c>
      <c r="K36" s="2">
        <v>11</v>
      </c>
    </row>
    <row r="37" spans="1:11" x14ac:dyDescent="0.3">
      <c r="A37" s="5">
        <v>46084.425000000003</v>
      </c>
      <c r="B37" t="s">
        <v>11</v>
      </c>
      <c r="C37">
        <v>560102</v>
      </c>
      <c r="D37" t="s">
        <v>30</v>
      </c>
      <c r="E37" t="s">
        <v>22</v>
      </c>
      <c r="F37" t="s">
        <v>23</v>
      </c>
      <c r="G37" s="3">
        <v>415</v>
      </c>
      <c r="H37" s="3">
        <v>301</v>
      </c>
      <c r="I37" s="4">
        <f>(Data[[#This Row],[MRP (₹)]]-Data[[#This Row],[Selling Price (₹)]])/Data[[#This Row],[MRP (₹)]]</f>
        <v>0.27469879518072288</v>
      </c>
      <c r="J37" t="s">
        <v>15</v>
      </c>
      <c r="K37" s="2">
        <v>11</v>
      </c>
    </row>
    <row r="38" spans="1:11" x14ac:dyDescent="0.3">
      <c r="A38" s="5">
        <v>46084.425000000003</v>
      </c>
      <c r="B38" t="s">
        <v>11</v>
      </c>
      <c r="C38">
        <v>560102</v>
      </c>
      <c r="D38" t="s">
        <v>30</v>
      </c>
      <c r="E38" t="s">
        <v>24</v>
      </c>
      <c r="F38" t="s">
        <v>43</v>
      </c>
      <c r="G38" s="3">
        <v>370</v>
      </c>
      <c r="H38" s="3">
        <v>276</v>
      </c>
      <c r="I38" s="4">
        <f>(Data[[#This Row],[MRP (₹)]]-Data[[#This Row],[Selling Price (₹)]])/Data[[#This Row],[MRP (₹)]]</f>
        <v>0.25405405405405407</v>
      </c>
      <c r="J38" t="s">
        <v>15</v>
      </c>
      <c r="K38" s="2">
        <v>11</v>
      </c>
    </row>
    <row r="39" spans="1:11" x14ac:dyDescent="0.3">
      <c r="A39" s="5">
        <v>46084.425000000003</v>
      </c>
      <c r="B39" t="s">
        <v>11</v>
      </c>
      <c r="C39">
        <v>560102</v>
      </c>
      <c r="D39" t="s">
        <v>30</v>
      </c>
      <c r="E39" t="s">
        <v>25</v>
      </c>
      <c r="F39" t="s">
        <v>44</v>
      </c>
      <c r="G39" s="3">
        <v>243</v>
      </c>
      <c r="H39" s="3">
        <v>243</v>
      </c>
      <c r="I39" s="4">
        <f>(Data[[#This Row],[MRP (₹)]]-Data[[#This Row],[Selling Price (₹)]])/Data[[#This Row],[MRP (₹)]]</f>
        <v>0</v>
      </c>
      <c r="J39" t="s">
        <v>15</v>
      </c>
      <c r="K39" s="2">
        <v>11</v>
      </c>
    </row>
    <row r="40" spans="1:11" x14ac:dyDescent="0.3">
      <c r="A40" s="5">
        <v>46084.425000000003</v>
      </c>
      <c r="B40" t="s">
        <v>11</v>
      </c>
      <c r="C40">
        <v>560102</v>
      </c>
      <c r="D40" t="s">
        <v>30</v>
      </c>
      <c r="E40" t="s">
        <v>26</v>
      </c>
      <c r="F40" t="s">
        <v>46</v>
      </c>
      <c r="G40" s="3">
        <v>114</v>
      </c>
      <c r="H40" s="3">
        <v>114</v>
      </c>
      <c r="I40" s="4">
        <f>(Data[[#This Row],[MRP (₹)]]-Data[[#This Row],[Selling Price (₹)]])/Data[[#This Row],[MRP (₹)]]</f>
        <v>0</v>
      </c>
      <c r="J40" t="s">
        <v>15</v>
      </c>
      <c r="K40" s="2">
        <v>11</v>
      </c>
    </row>
    <row r="41" spans="1:11" ht="38.4" customHeight="1" x14ac:dyDescent="0.3">
      <c r="A41" s="5">
        <v>46084.425000000003</v>
      </c>
      <c r="B41" t="s">
        <v>11</v>
      </c>
      <c r="C41">
        <v>560102</v>
      </c>
      <c r="D41" t="s">
        <v>30</v>
      </c>
      <c r="E41" t="s">
        <v>27</v>
      </c>
      <c r="F41" t="s">
        <v>45</v>
      </c>
      <c r="G41" s="3">
        <v>319</v>
      </c>
      <c r="H41" s="3">
        <v>262</v>
      </c>
      <c r="I41" s="4">
        <f>(Data[[#This Row],[MRP (₹)]]-Data[[#This Row],[Selling Price (₹)]])/Data[[#This Row],[MRP (₹)]]</f>
        <v>0.17868338557993729</v>
      </c>
      <c r="J41" t="s">
        <v>15</v>
      </c>
      <c r="K41" s="2">
        <v>11</v>
      </c>
    </row>
    <row r="42" spans="1:11" ht="17.399999999999999" customHeight="1" x14ac:dyDescent="0.3">
      <c r="A42" s="5">
        <v>46084.429166666669</v>
      </c>
      <c r="B42" t="s">
        <v>11</v>
      </c>
      <c r="C42">
        <v>560041</v>
      </c>
      <c r="D42" t="s">
        <v>31</v>
      </c>
      <c r="E42" t="s">
        <v>13</v>
      </c>
      <c r="F42" t="s">
        <v>14</v>
      </c>
      <c r="G42" s="3">
        <v>435</v>
      </c>
      <c r="H42" s="3">
        <v>324</v>
      </c>
      <c r="I42" s="4">
        <f>(Data[[#This Row],[MRP (₹)]]-Data[[#This Row],[Selling Price (₹)]])/Data[[#This Row],[MRP (₹)]]</f>
        <v>0.25517241379310346</v>
      </c>
      <c r="J42" t="s">
        <v>15</v>
      </c>
      <c r="K42" s="2">
        <v>13</v>
      </c>
    </row>
    <row r="43" spans="1:11" x14ac:dyDescent="0.3">
      <c r="A43" s="5">
        <v>46084.429166666669</v>
      </c>
      <c r="B43" t="s">
        <v>11</v>
      </c>
      <c r="C43">
        <v>560041</v>
      </c>
      <c r="D43" t="s">
        <v>31</v>
      </c>
      <c r="E43" t="s">
        <v>16</v>
      </c>
      <c r="F43" t="s">
        <v>41</v>
      </c>
      <c r="G43" s="3">
        <v>899</v>
      </c>
      <c r="H43" s="3">
        <v>465</v>
      </c>
      <c r="I43" s="4">
        <f>(Data[[#This Row],[MRP (₹)]]-Data[[#This Row],[Selling Price (₹)]])/Data[[#This Row],[MRP (₹)]]</f>
        <v>0.48275862068965519</v>
      </c>
      <c r="J43" t="s">
        <v>15</v>
      </c>
      <c r="K43" s="2">
        <v>13</v>
      </c>
    </row>
    <row r="44" spans="1:11" x14ac:dyDescent="0.3">
      <c r="A44" s="5">
        <v>46084.429166666669</v>
      </c>
      <c r="B44" t="s">
        <v>11</v>
      </c>
      <c r="C44">
        <v>560041</v>
      </c>
      <c r="D44" t="s">
        <v>31</v>
      </c>
      <c r="E44" t="s">
        <v>17</v>
      </c>
      <c r="F44" t="s">
        <v>18</v>
      </c>
      <c r="G44" s="3">
        <v>395</v>
      </c>
      <c r="H44" s="3">
        <v>305</v>
      </c>
      <c r="I44" s="4">
        <f>(Data[[#This Row],[MRP (₹)]]-Data[[#This Row],[Selling Price (₹)]])/Data[[#This Row],[MRP (₹)]]</f>
        <v>0.22784810126582278</v>
      </c>
      <c r="J44" t="s">
        <v>15</v>
      </c>
      <c r="K44" s="2">
        <v>13</v>
      </c>
    </row>
    <row r="45" spans="1:11" x14ac:dyDescent="0.3">
      <c r="A45" s="5">
        <v>46084.429166666669</v>
      </c>
      <c r="B45" t="s">
        <v>11</v>
      </c>
      <c r="C45">
        <v>560041</v>
      </c>
      <c r="D45" t="s">
        <v>31</v>
      </c>
      <c r="E45" t="s">
        <v>19</v>
      </c>
      <c r="F45" t="s">
        <v>20</v>
      </c>
      <c r="G45" s="3">
        <v>340</v>
      </c>
      <c r="H45" s="3">
        <v>254</v>
      </c>
      <c r="I45" s="4">
        <f>(Data[[#This Row],[MRP (₹)]]-Data[[#This Row],[Selling Price (₹)]])/Data[[#This Row],[MRP (₹)]]</f>
        <v>0.25294117647058822</v>
      </c>
      <c r="J45" t="s">
        <v>15</v>
      </c>
      <c r="K45" s="2">
        <v>13</v>
      </c>
    </row>
    <row r="46" spans="1:11" x14ac:dyDescent="0.3">
      <c r="A46" s="5">
        <v>46084.429166666669</v>
      </c>
      <c r="B46" t="s">
        <v>11</v>
      </c>
      <c r="C46">
        <v>560041</v>
      </c>
      <c r="D46" t="s">
        <v>31</v>
      </c>
      <c r="E46" t="s">
        <v>21</v>
      </c>
      <c r="F46" t="s">
        <v>42</v>
      </c>
      <c r="G46" s="3">
        <v>172</v>
      </c>
      <c r="H46" s="3">
        <v>172</v>
      </c>
      <c r="I46" s="4">
        <f>(Data[[#This Row],[MRP (₹)]]-Data[[#This Row],[Selling Price (₹)]])/Data[[#This Row],[MRP (₹)]]</f>
        <v>0</v>
      </c>
      <c r="J46" t="s">
        <v>15</v>
      </c>
      <c r="K46" s="2">
        <v>13</v>
      </c>
    </row>
    <row r="47" spans="1:11" x14ac:dyDescent="0.3">
      <c r="A47" s="5">
        <v>46084.429166666669</v>
      </c>
      <c r="B47" t="s">
        <v>11</v>
      </c>
      <c r="C47">
        <v>560041</v>
      </c>
      <c r="D47" t="s">
        <v>31</v>
      </c>
      <c r="E47" t="s">
        <v>22</v>
      </c>
      <c r="F47" t="s">
        <v>23</v>
      </c>
      <c r="G47" s="3">
        <v>415</v>
      </c>
      <c r="H47" s="3">
        <v>301</v>
      </c>
      <c r="I47" s="4">
        <f>(Data[[#This Row],[MRP (₹)]]-Data[[#This Row],[Selling Price (₹)]])/Data[[#This Row],[MRP (₹)]]</f>
        <v>0.27469879518072288</v>
      </c>
      <c r="J47" t="s">
        <v>15</v>
      </c>
      <c r="K47" s="2">
        <v>13</v>
      </c>
    </row>
    <row r="48" spans="1:11" x14ac:dyDescent="0.3">
      <c r="A48" s="5">
        <v>46084.429166666669</v>
      </c>
      <c r="B48" t="s">
        <v>11</v>
      </c>
      <c r="C48">
        <v>560041</v>
      </c>
      <c r="D48" t="s">
        <v>31</v>
      </c>
      <c r="E48" t="s">
        <v>24</v>
      </c>
      <c r="F48" t="s">
        <v>43</v>
      </c>
      <c r="G48" s="3">
        <v>370</v>
      </c>
      <c r="H48" s="3">
        <v>276</v>
      </c>
      <c r="I48" s="4">
        <f>(Data[[#This Row],[MRP (₹)]]-Data[[#This Row],[Selling Price (₹)]])/Data[[#This Row],[MRP (₹)]]</f>
        <v>0.25405405405405407</v>
      </c>
      <c r="J48" t="s">
        <v>15</v>
      </c>
      <c r="K48" s="2">
        <v>13</v>
      </c>
    </row>
    <row r="49" spans="1:11" ht="22.8" customHeight="1" x14ac:dyDescent="0.3">
      <c r="A49" s="5">
        <v>46084.429166666669</v>
      </c>
      <c r="B49" t="s">
        <v>11</v>
      </c>
      <c r="C49">
        <v>560041</v>
      </c>
      <c r="D49" t="s">
        <v>31</v>
      </c>
      <c r="E49" t="s">
        <v>25</v>
      </c>
      <c r="F49" t="s">
        <v>44</v>
      </c>
      <c r="G49" s="3">
        <v>243</v>
      </c>
      <c r="H49" s="3">
        <v>243</v>
      </c>
      <c r="I49" s="4">
        <f>(Data[[#This Row],[MRP (₹)]]-Data[[#This Row],[Selling Price (₹)]])/Data[[#This Row],[MRP (₹)]]</f>
        <v>0</v>
      </c>
      <c r="J49" t="s">
        <v>15</v>
      </c>
      <c r="K49" s="2">
        <v>13</v>
      </c>
    </row>
    <row r="50" spans="1:11" x14ac:dyDescent="0.3">
      <c r="A50" s="5">
        <v>46084.429166666669</v>
      </c>
      <c r="B50" t="s">
        <v>11</v>
      </c>
      <c r="C50">
        <v>560041</v>
      </c>
      <c r="D50" t="s">
        <v>31</v>
      </c>
      <c r="E50" t="s">
        <v>26</v>
      </c>
      <c r="F50" t="s">
        <v>46</v>
      </c>
      <c r="G50" s="3">
        <v>114</v>
      </c>
      <c r="H50" s="3">
        <v>114</v>
      </c>
      <c r="I50" s="4">
        <f>(Data[[#This Row],[MRP (₹)]]-Data[[#This Row],[Selling Price (₹)]])/Data[[#This Row],[MRP (₹)]]</f>
        <v>0</v>
      </c>
      <c r="J50" t="s">
        <v>15</v>
      </c>
      <c r="K50" s="2">
        <v>13</v>
      </c>
    </row>
    <row r="51" spans="1:11" ht="33" customHeight="1" x14ac:dyDescent="0.3">
      <c r="A51" s="5">
        <v>46084.429166666669</v>
      </c>
      <c r="B51" t="s">
        <v>11</v>
      </c>
      <c r="C51">
        <v>560041</v>
      </c>
      <c r="D51" t="s">
        <v>31</v>
      </c>
      <c r="E51" t="s">
        <v>27</v>
      </c>
      <c r="F51" t="s">
        <v>45</v>
      </c>
      <c r="G51" s="3">
        <v>319</v>
      </c>
      <c r="H51" s="3">
        <v>262</v>
      </c>
      <c r="I51" s="4">
        <f>(Data[[#This Row],[MRP (₹)]]-Data[[#This Row],[Selling Price (₹)]])/Data[[#This Row],[MRP (₹)]]</f>
        <v>0.17868338557993729</v>
      </c>
      <c r="J51" t="s">
        <v>15</v>
      </c>
      <c r="K51" s="2">
        <v>13</v>
      </c>
    </row>
    <row r="52" spans="1:11" ht="18.600000000000001" customHeight="1" x14ac:dyDescent="0.3">
      <c r="A52" s="5">
        <v>46084.433333333334</v>
      </c>
      <c r="B52" t="s">
        <v>32</v>
      </c>
      <c r="C52">
        <v>560038</v>
      </c>
      <c r="D52" t="s">
        <v>12</v>
      </c>
      <c r="E52" t="s">
        <v>13</v>
      </c>
      <c r="F52" t="s">
        <v>47</v>
      </c>
      <c r="G52" s="3">
        <v>172</v>
      </c>
      <c r="H52" s="3">
        <v>159</v>
      </c>
      <c r="I52" s="4">
        <f>(Data[[#This Row],[MRP (₹)]]-Data[[#This Row],[Selling Price (₹)]])/Data[[#This Row],[MRP (₹)]]</f>
        <v>7.5581395348837205E-2</v>
      </c>
      <c r="J52" t="s">
        <v>15</v>
      </c>
      <c r="K52" s="2">
        <v>15</v>
      </c>
    </row>
    <row r="53" spans="1:11" x14ac:dyDescent="0.3">
      <c r="A53" s="5">
        <v>46084.433333333334</v>
      </c>
      <c r="B53" t="s">
        <v>32</v>
      </c>
      <c r="C53">
        <v>560038</v>
      </c>
      <c r="D53" t="s">
        <v>12</v>
      </c>
      <c r="E53" t="s">
        <v>16</v>
      </c>
      <c r="F53" t="s">
        <v>48</v>
      </c>
      <c r="G53" s="3">
        <v>355</v>
      </c>
      <c r="H53" s="3">
        <v>237</v>
      </c>
      <c r="I53" s="4">
        <f>(Data[[#This Row],[MRP (₹)]]-Data[[#This Row],[Selling Price (₹)]])/Data[[#This Row],[MRP (₹)]]</f>
        <v>0.3323943661971831</v>
      </c>
      <c r="J53" t="s">
        <v>15</v>
      </c>
      <c r="K53" s="2">
        <v>15</v>
      </c>
    </row>
    <row r="54" spans="1:11" x14ac:dyDescent="0.3">
      <c r="A54" s="5">
        <v>46084.433333333334</v>
      </c>
      <c r="B54" t="s">
        <v>32</v>
      </c>
      <c r="C54">
        <v>560038</v>
      </c>
      <c r="D54" t="s">
        <v>12</v>
      </c>
      <c r="E54" t="s">
        <v>17</v>
      </c>
      <c r="F54" t="s">
        <v>49</v>
      </c>
      <c r="G54" s="3">
        <v>199</v>
      </c>
      <c r="H54" s="3">
        <v>172</v>
      </c>
      <c r="I54" s="4">
        <f>(Data[[#This Row],[MRP (₹)]]-Data[[#This Row],[Selling Price (₹)]])/Data[[#This Row],[MRP (₹)]]</f>
        <v>0.135678391959799</v>
      </c>
      <c r="J54" t="s">
        <v>15</v>
      </c>
      <c r="K54" s="2">
        <v>15</v>
      </c>
    </row>
    <row r="55" spans="1:11" x14ac:dyDescent="0.3">
      <c r="A55" s="5">
        <v>46084.433333333334</v>
      </c>
      <c r="B55" t="s">
        <v>32</v>
      </c>
      <c r="C55">
        <v>560038</v>
      </c>
      <c r="D55" t="s">
        <v>12</v>
      </c>
      <c r="E55" t="s">
        <v>19</v>
      </c>
      <c r="F55" t="s">
        <v>50</v>
      </c>
      <c r="G55" s="3">
        <v>140</v>
      </c>
      <c r="H55" s="3">
        <v>140</v>
      </c>
      <c r="I55" s="4">
        <f>(Data[[#This Row],[MRP (₹)]]-Data[[#This Row],[Selling Price (₹)]])/Data[[#This Row],[MRP (₹)]]</f>
        <v>0</v>
      </c>
      <c r="J55" t="s">
        <v>15</v>
      </c>
      <c r="K55" s="2">
        <v>15</v>
      </c>
    </row>
    <row r="56" spans="1:11" x14ac:dyDescent="0.3">
      <c r="A56" s="5">
        <v>46084.433333333334</v>
      </c>
      <c r="B56" t="s">
        <v>32</v>
      </c>
      <c r="C56">
        <v>560038</v>
      </c>
      <c r="D56" t="s">
        <v>12</v>
      </c>
      <c r="E56" t="s">
        <v>21</v>
      </c>
      <c r="F56" t="s">
        <v>51</v>
      </c>
      <c r="G56" s="3">
        <v>172</v>
      </c>
      <c r="H56" s="3">
        <v>158</v>
      </c>
      <c r="I56" s="4">
        <f>(Data[[#This Row],[MRP (₹)]]-Data[[#This Row],[Selling Price (₹)]])/Data[[#This Row],[MRP (₹)]]</f>
        <v>8.1395348837209308E-2</v>
      </c>
      <c r="J56" t="s">
        <v>15</v>
      </c>
      <c r="K56" s="2">
        <v>15</v>
      </c>
    </row>
    <row r="57" spans="1:11" x14ac:dyDescent="0.3">
      <c r="A57" s="5">
        <v>46084.433333333334</v>
      </c>
      <c r="B57" t="s">
        <v>32</v>
      </c>
      <c r="C57">
        <v>560038</v>
      </c>
      <c r="D57" t="s">
        <v>12</v>
      </c>
      <c r="E57" t="s">
        <v>22</v>
      </c>
      <c r="F57" t="s">
        <v>23</v>
      </c>
      <c r="G57" s="3">
        <v>415</v>
      </c>
      <c r="H57" s="3">
        <v>276</v>
      </c>
      <c r="I57" s="4">
        <f>(Data[[#This Row],[MRP (₹)]]-Data[[#This Row],[Selling Price (₹)]])/Data[[#This Row],[MRP (₹)]]</f>
        <v>0.33493975903614459</v>
      </c>
      <c r="J57" t="s">
        <v>15</v>
      </c>
      <c r="K57" s="2">
        <v>15</v>
      </c>
    </row>
    <row r="58" spans="1:11" x14ac:dyDescent="0.3">
      <c r="A58" s="5">
        <v>46084.433333333334</v>
      </c>
      <c r="B58" t="s">
        <v>32</v>
      </c>
      <c r="C58">
        <v>560038</v>
      </c>
      <c r="D58" t="s">
        <v>12</v>
      </c>
      <c r="E58" t="s">
        <v>24</v>
      </c>
      <c r="F58" t="s">
        <v>52</v>
      </c>
      <c r="G58" s="3">
        <v>158</v>
      </c>
      <c r="H58" s="3">
        <v>146</v>
      </c>
      <c r="I58" s="4">
        <f>(Data[[#This Row],[MRP (₹)]]-Data[[#This Row],[Selling Price (₹)]])/Data[[#This Row],[MRP (₹)]]</f>
        <v>7.5949367088607597E-2</v>
      </c>
      <c r="J58" t="s">
        <v>15</v>
      </c>
      <c r="K58" s="2">
        <v>15</v>
      </c>
    </row>
    <row r="59" spans="1:11" x14ac:dyDescent="0.3">
      <c r="A59" s="5">
        <v>46084.433333333334</v>
      </c>
      <c r="B59" t="s">
        <v>32</v>
      </c>
      <c r="C59">
        <v>560038</v>
      </c>
      <c r="D59" t="s">
        <v>12</v>
      </c>
      <c r="E59" t="s">
        <v>25</v>
      </c>
      <c r="F59" t="s">
        <v>53</v>
      </c>
      <c r="G59" s="3">
        <v>135</v>
      </c>
      <c r="H59" s="3">
        <v>132</v>
      </c>
      <c r="I59" s="4">
        <f>(Data[[#This Row],[MRP (₹)]]-Data[[#This Row],[Selling Price (₹)]])/Data[[#This Row],[MRP (₹)]]</f>
        <v>2.2222222222222223E-2</v>
      </c>
      <c r="J59" t="s">
        <v>15</v>
      </c>
      <c r="K59" s="2">
        <v>15</v>
      </c>
    </row>
    <row r="60" spans="1:11" x14ac:dyDescent="0.3">
      <c r="A60" s="5">
        <v>46084.433333333334</v>
      </c>
      <c r="B60" t="s">
        <v>32</v>
      </c>
      <c r="C60">
        <v>560038</v>
      </c>
      <c r="D60" t="s">
        <v>12</v>
      </c>
      <c r="E60" t="s">
        <v>26</v>
      </c>
      <c r="F60" t="s">
        <v>54</v>
      </c>
      <c r="G60" s="3">
        <v>1299</v>
      </c>
      <c r="H60" s="3">
        <v>801</v>
      </c>
      <c r="I60" s="4">
        <f>(Data[[#This Row],[MRP (₹)]]-Data[[#This Row],[Selling Price (₹)]])/Data[[#This Row],[MRP (₹)]]</f>
        <v>0.38337182448036949</v>
      </c>
      <c r="J60" t="s">
        <v>15</v>
      </c>
      <c r="K60" s="2">
        <v>15</v>
      </c>
    </row>
    <row r="61" spans="1:11" ht="39" customHeight="1" x14ac:dyDescent="0.3">
      <c r="A61" s="5">
        <v>46084.433333333334</v>
      </c>
      <c r="B61" t="s">
        <v>32</v>
      </c>
      <c r="C61">
        <v>560038</v>
      </c>
      <c r="D61" t="s">
        <v>12</v>
      </c>
      <c r="E61" t="s">
        <v>27</v>
      </c>
      <c r="F61" t="s">
        <v>55</v>
      </c>
      <c r="G61" s="3">
        <v>319</v>
      </c>
      <c r="H61" s="3">
        <v>223</v>
      </c>
      <c r="I61" s="4">
        <f>(Data[[#This Row],[MRP (₹)]]-Data[[#This Row],[Selling Price (₹)]])/Data[[#This Row],[MRP (₹)]]</f>
        <v>0.30094043887147337</v>
      </c>
      <c r="J61" t="s">
        <v>15</v>
      </c>
      <c r="K61" s="2">
        <v>15</v>
      </c>
    </row>
    <row r="62" spans="1:11" ht="18.600000000000001" customHeight="1" x14ac:dyDescent="0.3">
      <c r="A62" s="5">
        <v>46084.4375</v>
      </c>
      <c r="B62" t="s">
        <v>32</v>
      </c>
      <c r="C62">
        <v>560034</v>
      </c>
      <c r="D62" t="s">
        <v>28</v>
      </c>
      <c r="E62" t="s">
        <v>13</v>
      </c>
      <c r="F62" t="s">
        <v>47</v>
      </c>
      <c r="G62" s="3">
        <v>172</v>
      </c>
      <c r="H62" s="3">
        <v>159</v>
      </c>
      <c r="I62" s="4">
        <f>(Data[[#This Row],[MRP (₹)]]-Data[[#This Row],[Selling Price (₹)]])/Data[[#This Row],[MRP (₹)]]</f>
        <v>7.5581395348837205E-2</v>
      </c>
      <c r="J62" t="s">
        <v>15</v>
      </c>
      <c r="K62" s="2">
        <v>10</v>
      </c>
    </row>
    <row r="63" spans="1:11" x14ac:dyDescent="0.3">
      <c r="A63" s="5">
        <v>46084.4375</v>
      </c>
      <c r="B63" t="s">
        <v>32</v>
      </c>
      <c r="C63">
        <v>560034</v>
      </c>
      <c r="D63" t="s">
        <v>28</v>
      </c>
      <c r="E63" t="s">
        <v>16</v>
      </c>
      <c r="F63" t="s">
        <v>48</v>
      </c>
      <c r="G63" s="3">
        <v>355</v>
      </c>
      <c r="H63" s="3">
        <v>237</v>
      </c>
      <c r="I63" s="4">
        <f>(Data[[#This Row],[MRP (₹)]]-Data[[#This Row],[Selling Price (₹)]])/Data[[#This Row],[MRP (₹)]]</f>
        <v>0.3323943661971831</v>
      </c>
      <c r="J63" t="s">
        <v>15</v>
      </c>
      <c r="K63" s="2">
        <v>10</v>
      </c>
    </row>
    <row r="64" spans="1:11" x14ac:dyDescent="0.3">
      <c r="A64" s="5">
        <v>46084.4375</v>
      </c>
      <c r="B64" t="s">
        <v>32</v>
      </c>
      <c r="C64">
        <v>560034</v>
      </c>
      <c r="D64" t="s">
        <v>28</v>
      </c>
      <c r="E64" t="s">
        <v>17</v>
      </c>
      <c r="F64" t="s">
        <v>49</v>
      </c>
      <c r="G64" s="3">
        <v>199</v>
      </c>
      <c r="H64" s="3">
        <v>172</v>
      </c>
      <c r="I64" s="4">
        <f>(Data[[#This Row],[MRP (₹)]]-Data[[#This Row],[Selling Price (₹)]])/Data[[#This Row],[MRP (₹)]]</f>
        <v>0.135678391959799</v>
      </c>
      <c r="J64" t="s">
        <v>15</v>
      </c>
      <c r="K64" s="2">
        <v>10</v>
      </c>
    </row>
    <row r="65" spans="1:11" x14ac:dyDescent="0.3">
      <c r="A65" s="5">
        <v>46084.4375</v>
      </c>
      <c r="B65" t="s">
        <v>32</v>
      </c>
      <c r="C65">
        <v>560034</v>
      </c>
      <c r="D65" t="s">
        <v>28</v>
      </c>
      <c r="E65" t="s">
        <v>19</v>
      </c>
      <c r="F65" t="s">
        <v>50</v>
      </c>
      <c r="G65" s="3">
        <v>140</v>
      </c>
      <c r="H65" s="3">
        <v>140</v>
      </c>
      <c r="I65" s="4">
        <f>(Data[[#This Row],[MRP (₹)]]-Data[[#This Row],[Selling Price (₹)]])/Data[[#This Row],[MRP (₹)]]</f>
        <v>0</v>
      </c>
      <c r="J65" t="s">
        <v>15</v>
      </c>
      <c r="K65" s="2">
        <v>10</v>
      </c>
    </row>
    <row r="66" spans="1:11" x14ac:dyDescent="0.3">
      <c r="A66" s="5">
        <v>46084.4375</v>
      </c>
      <c r="B66" t="s">
        <v>32</v>
      </c>
      <c r="C66">
        <v>560034</v>
      </c>
      <c r="D66" t="s">
        <v>28</v>
      </c>
      <c r="E66" t="s">
        <v>21</v>
      </c>
      <c r="F66" t="s">
        <v>51</v>
      </c>
      <c r="G66" s="3">
        <v>172</v>
      </c>
      <c r="H66" s="3">
        <v>158</v>
      </c>
      <c r="I66" s="4">
        <f>(Data[[#This Row],[MRP (₹)]]-Data[[#This Row],[Selling Price (₹)]])/Data[[#This Row],[MRP (₹)]]</f>
        <v>8.1395348837209308E-2</v>
      </c>
      <c r="J66" t="s">
        <v>15</v>
      </c>
      <c r="K66" s="2">
        <v>10</v>
      </c>
    </row>
    <row r="67" spans="1:11" x14ac:dyDescent="0.3">
      <c r="A67" s="5">
        <v>46084.4375</v>
      </c>
      <c r="B67" t="s">
        <v>32</v>
      </c>
      <c r="C67">
        <v>560034</v>
      </c>
      <c r="D67" t="s">
        <v>28</v>
      </c>
      <c r="E67" t="s">
        <v>22</v>
      </c>
      <c r="F67" t="s">
        <v>23</v>
      </c>
      <c r="G67" s="3">
        <v>415</v>
      </c>
      <c r="H67" s="3">
        <v>276</v>
      </c>
      <c r="I67" s="4">
        <f>(Data[[#This Row],[MRP (₹)]]-Data[[#This Row],[Selling Price (₹)]])/Data[[#This Row],[MRP (₹)]]</f>
        <v>0.33493975903614459</v>
      </c>
      <c r="J67" t="s">
        <v>15</v>
      </c>
      <c r="K67" s="2">
        <v>10</v>
      </c>
    </row>
    <row r="68" spans="1:11" x14ac:dyDescent="0.3">
      <c r="A68" s="5">
        <v>46084.4375</v>
      </c>
      <c r="B68" t="s">
        <v>32</v>
      </c>
      <c r="C68">
        <v>560034</v>
      </c>
      <c r="D68" t="s">
        <v>28</v>
      </c>
      <c r="E68" t="s">
        <v>24</v>
      </c>
      <c r="F68" t="s">
        <v>52</v>
      </c>
      <c r="G68" s="3">
        <v>158</v>
      </c>
      <c r="H68" s="3">
        <v>146</v>
      </c>
      <c r="I68" s="4">
        <f>(Data[[#This Row],[MRP (₹)]]-Data[[#This Row],[Selling Price (₹)]])/Data[[#This Row],[MRP (₹)]]</f>
        <v>7.5949367088607597E-2</v>
      </c>
      <c r="J68" t="s">
        <v>15</v>
      </c>
      <c r="K68" s="2">
        <v>10</v>
      </c>
    </row>
    <row r="69" spans="1:11" x14ac:dyDescent="0.3">
      <c r="A69" s="5">
        <v>46084.4375</v>
      </c>
      <c r="B69" t="s">
        <v>32</v>
      </c>
      <c r="C69">
        <v>560034</v>
      </c>
      <c r="D69" t="s">
        <v>28</v>
      </c>
      <c r="E69" t="s">
        <v>25</v>
      </c>
      <c r="F69" t="s">
        <v>53</v>
      </c>
      <c r="G69" s="3">
        <v>135</v>
      </c>
      <c r="H69" s="3">
        <v>132</v>
      </c>
      <c r="I69" s="4">
        <f>(Data[[#This Row],[MRP (₹)]]-Data[[#This Row],[Selling Price (₹)]])/Data[[#This Row],[MRP (₹)]]</f>
        <v>2.2222222222222223E-2</v>
      </c>
      <c r="J69" t="s">
        <v>15</v>
      </c>
      <c r="K69" s="2">
        <v>10</v>
      </c>
    </row>
    <row r="70" spans="1:11" x14ac:dyDescent="0.3">
      <c r="A70" s="5">
        <v>46084.4375</v>
      </c>
      <c r="B70" t="s">
        <v>32</v>
      </c>
      <c r="C70">
        <v>560034</v>
      </c>
      <c r="D70" t="s">
        <v>28</v>
      </c>
      <c r="E70" t="s">
        <v>26</v>
      </c>
      <c r="F70" t="s">
        <v>54</v>
      </c>
      <c r="G70" s="3">
        <v>1299</v>
      </c>
      <c r="H70" s="3">
        <v>801</v>
      </c>
      <c r="I70" s="4">
        <f>(Data[[#This Row],[MRP (₹)]]-Data[[#This Row],[Selling Price (₹)]])/Data[[#This Row],[MRP (₹)]]</f>
        <v>0.38337182448036949</v>
      </c>
      <c r="J70" t="s">
        <v>15</v>
      </c>
      <c r="K70" s="2">
        <v>10</v>
      </c>
    </row>
    <row r="71" spans="1:11" ht="37.799999999999997" customHeight="1" x14ac:dyDescent="0.3">
      <c r="A71" s="5">
        <v>46084.4375</v>
      </c>
      <c r="B71" t="s">
        <v>32</v>
      </c>
      <c r="C71">
        <v>560034</v>
      </c>
      <c r="D71" t="s">
        <v>28</v>
      </c>
      <c r="E71" t="s">
        <v>27</v>
      </c>
      <c r="F71" t="s">
        <v>55</v>
      </c>
      <c r="G71" s="3">
        <v>319</v>
      </c>
      <c r="H71" s="3">
        <v>223</v>
      </c>
      <c r="I71" s="4">
        <f>(Data[[#This Row],[MRP (₹)]]-Data[[#This Row],[Selling Price (₹)]])/Data[[#This Row],[MRP (₹)]]</f>
        <v>0.30094043887147337</v>
      </c>
      <c r="J71" t="s">
        <v>15</v>
      </c>
      <c r="K71" s="2">
        <v>10</v>
      </c>
    </row>
    <row r="72" spans="1:11" ht="18.600000000000001" customHeight="1" x14ac:dyDescent="0.3">
      <c r="A72" s="5">
        <v>46084.441666666666</v>
      </c>
      <c r="B72" t="s">
        <v>32</v>
      </c>
      <c r="C72">
        <v>560066</v>
      </c>
      <c r="D72" t="s">
        <v>29</v>
      </c>
      <c r="E72" t="s">
        <v>13</v>
      </c>
      <c r="F72" t="s">
        <v>47</v>
      </c>
      <c r="G72" s="3">
        <v>172</v>
      </c>
      <c r="H72" s="3">
        <v>159</v>
      </c>
      <c r="I72" s="4">
        <f>(Data[[#This Row],[MRP (₹)]]-Data[[#This Row],[Selling Price (₹)]])/Data[[#This Row],[MRP (₹)]]</f>
        <v>7.5581395348837205E-2</v>
      </c>
      <c r="J72" t="s">
        <v>15</v>
      </c>
      <c r="K72" s="2">
        <v>14</v>
      </c>
    </row>
    <row r="73" spans="1:11" x14ac:dyDescent="0.3">
      <c r="A73" s="5">
        <v>46084.441666666666</v>
      </c>
      <c r="B73" t="s">
        <v>32</v>
      </c>
      <c r="C73">
        <v>560066</v>
      </c>
      <c r="D73" t="s">
        <v>29</v>
      </c>
      <c r="E73" t="s">
        <v>16</v>
      </c>
      <c r="F73" t="s">
        <v>48</v>
      </c>
      <c r="G73" s="3">
        <v>355</v>
      </c>
      <c r="H73" s="3">
        <v>237</v>
      </c>
      <c r="I73" s="4">
        <f>(Data[[#This Row],[MRP (₹)]]-Data[[#This Row],[Selling Price (₹)]])/Data[[#This Row],[MRP (₹)]]</f>
        <v>0.3323943661971831</v>
      </c>
      <c r="J73" t="s">
        <v>15</v>
      </c>
      <c r="K73" s="2">
        <v>14</v>
      </c>
    </row>
    <row r="74" spans="1:11" x14ac:dyDescent="0.3">
      <c r="A74" s="5">
        <v>46084.441666666666</v>
      </c>
      <c r="B74" t="s">
        <v>32</v>
      </c>
      <c r="C74">
        <v>560066</v>
      </c>
      <c r="D74" t="s">
        <v>29</v>
      </c>
      <c r="E74" t="s">
        <v>17</v>
      </c>
      <c r="F74" t="s">
        <v>49</v>
      </c>
      <c r="G74" s="3">
        <v>199</v>
      </c>
      <c r="H74" s="3">
        <v>172</v>
      </c>
      <c r="I74" s="4">
        <f>(Data[[#This Row],[MRP (₹)]]-Data[[#This Row],[Selling Price (₹)]])/Data[[#This Row],[MRP (₹)]]</f>
        <v>0.135678391959799</v>
      </c>
      <c r="J74" t="s">
        <v>15</v>
      </c>
      <c r="K74" s="2">
        <v>14</v>
      </c>
    </row>
    <row r="75" spans="1:11" x14ac:dyDescent="0.3">
      <c r="A75" s="5">
        <v>46084.441666666666</v>
      </c>
      <c r="B75" t="s">
        <v>32</v>
      </c>
      <c r="C75">
        <v>560066</v>
      </c>
      <c r="D75" t="s">
        <v>29</v>
      </c>
      <c r="E75" t="s">
        <v>19</v>
      </c>
      <c r="F75" t="s">
        <v>50</v>
      </c>
      <c r="G75" s="3">
        <v>140</v>
      </c>
      <c r="H75" s="3">
        <v>140</v>
      </c>
      <c r="I75" s="4">
        <f>(Data[[#This Row],[MRP (₹)]]-Data[[#This Row],[Selling Price (₹)]])/Data[[#This Row],[MRP (₹)]]</f>
        <v>0</v>
      </c>
      <c r="J75" t="s">
        <v>15</v>
      </c>
      <c r="K75" s="2">
        <v>14</v>
      </c>
    </row>
    <row r="76" spans="1:11" x14ac:dyDescent="0.3">
      <c r="A76" s="5">
        <v>46084.441666666666</v>
      </c>
      <c r="B76" t="s">
        <v>32</v>
      </c>
      <c r="C76">
        <v>560066</v>
      </c>
      <c r="D76" t="s">
        <v>29</v>
      </c>
      <c r="E76" t="s">
        <v>21</v>
      </c>
      <c r="F76" t="s">
        <v>51</v>
      </c>
      <c r="G76" s="3">
        <v>172</v>
      </c>
      <c r="H76" s="3">
        <v>158</v>
      </c>
      <c r="I76" s="4">
        <f>(Data[[#This Row],[MRP (₹)]]-Data[[#This Row],[Selling Price (₹)]])/Data[[#This Row],[MRP (₹)]]</f>
        <v>8.1395348837209308E-2</v>
      </c>
      <c r="J76" t="s">
        <v>15</v>
      </c>
      <c r="K76" s="2">
        <v>14</v>
      </c>
    </row>
    <row r="77" spans="1:11" x14ac:dyDescent="0.3">
      <c r="A77" s="5">
        <v>46084.441666666666</v>
      </c>
      <c r="B77" t="s">
        <v>32</v>
      </c>
      <c r="C77">
        <v>560066</v>
      </c>
      <c r="D77" t="s">
        <v>29</v>
      </c>
      <c r="E77" t="s">
        <v>22</v>
      </c>
      <c r="F77" t="s">
        <v>23</v>
      </c>
      <c r="G77" s="3">
        <v>415</v>
      </c>
      <c r="H77" s="3">
        <v>276</v>
      </c>
      <c r="I77" s="4">
        <f>(Data[[#This Row],[MRP (₹)]]-Data[[#This Row],[Selling Price (₹)]])/Data[[#This Row],[MRP (₹)]]</f>
        <v>0.33493975903614459</v>
      </c>
      <c r="J77" t="s">
        <v>15</v>
      </c>
      <c r="K77" s="2">
        <v>14</v>
      </c>
    </row>
    <row r="78" spans="1:11" x14ac:dyDescent="0.3">
      <c r="A78" s="5">
        <v>46084.441666666666</v>
      </c>
      <c r="B78" t="s">
        <v>32</v>
      </c>
      <c r="C78">
        <v>560066</v>
      </c>
      <c r="D78" t="s">
        <v>29</v>
      </c>
      <c r="E78" t="s">
        <v>24</v>
      </c>
      <c r="F78" t="s">
        <v>52</v>
      </c>
      <c r="G78" s="3">
        <v>158</v>
      </c>
      <c r="H78" s="3">
        <v>146</v>
      </c>
      <c r="I78" s="4">
        <f>(Data[[#This Row],[MRP (₹)]]-Data[[#This Row],[Selling Price (₹)]])/Data[[#This Row],[MRP (₹)]]</f>
        <v>7.5949367088607597E-2</v>
      </c>
      <c r="J78" t="s">
        <v>15</v>
      </c>
      <c r="K78" s="2">
        <v>14</v>
      </c>
    </row>
    <row r="79" spans="1:11" x14ac:dyDescent="0.3">
      <c r="A79" s="5">
        <v>46084.441666666666</v>
      </c>
      <c r="B79" t="s">
        <v>32</v>
      </c>
      <c r="C79">
        <v>560066</v>
      </c>
      <c r="D79" t="s">
        <v>29</v>
      </c>
      <c r="E79" t="s">
        <v>25</v>
      </c>
      <c r="F79" t="s">
        <v>53</v>
      </c>
      <c r="G79" s="3">
        <v>135</v>
      </c>
      <c r="H79" s="3">
        <v>132</v>
      </c>
      <c r="I79" s="4">
        <f>(Data[[#This Row],[MRP (₹)]]-Data[[#This Row],[Selling Price (₹)]])/Data[[#This Row],[MRP (₹)]]</f>
        <v>2.2222222222222223E-2</v>
      </c>
      <c r="J79" t="s">
        <v>15</v>
      </c>
      <c r="K79" s="2">
        <v>14</v>
      </c>
    </row>
    <row r="80" spans="1:11" x14ac:dyDescent="0.3">
      <c r="A80" s="5">
        <v>46084.441666666666</v>
      </c>
      <c r="B80" t="s">
        <v>32</v>
      </c>
      <c r="C80">
        <v>560066</v>
      </c>
      <c r="D80" t="s">
        <v>29</v>
      </c>
      <c r="E80" t="s">
        <v>26</v>
      </c>
      <c r="F80" t="s">
        <v>54</v>
      </c>
      <c r="G80" s="3">
        <v>1299</v>
      </c>
      <c r="H80" s="3">
        <v>801</v>
      </c>
      <c r="I80" s="4">
        <f>(Data[[#This Row],[MRP (₹)]]-Data[[#This Row],[Selling Price (₹)]])/Data[[#This Row],[MRP (₹)]]</f>
        <v>0.38337182448036949</v>
      </c>
      <c r="J80" t="s">
        <v>15</v>
      </c>
      <c r="K80" s="2">
        <v>14</v>
      </c>
    </row>
    <row r="81" spans="1:11" ht="46.2" customHeight="1" x14ac:dyDescent="0.3">
      <c r="A81" s="5">
        <v>46084.441666666666</v>
      </c>
      <c r="B81" t="s">
        <v>32</v>
      </c>
      <c r="C81">
        <v>560066</v>
      </c>
      <c r="D81" t="s">
        <v>29</v>
      </c>
      <c r="E81" t="s">
        <v>27</v>
      </c>
      <c r="F81" t="s">
        <v>55</v>
      </c>
      <c r="G81" s="3">
        <v>319</v>
      </c>
      <c r="H81" s="3">
        <v>223</v>
      </c>
      <c r="I81" s="4">
        <f>(Data[[#This Row],[MRP (₹)]]-Data[[#This Row],[Selling Price (₹)]])/Data[[#This Row],[MRP (₹)]]</f>
        <v>0.30094043887147337</v>
      </c>
      <c r="J81" t="s">
        <v>15</v>
      </c>
      <c r="K81" s="2">
        <v>14</v>
      </c>
    </row>
    <row r="82" spans="1:11" ht="16.8" customHeight="1" x14ac:dyDescent="0.3">
      <c r="A82" s="5">
        <v>46084.445138888892</v>
      </c>
      <c r="B82" t="s">
        <v>32</v>
      </c>
      <c r="C82">
        <v>560102</v>
      </c>
      <c r="D82" t="s">
        <v>30</v>
      </c>
      <c r="E82" t="s">
        <v>13</v>
      </c>
      <c r="F82" t="s">
        <v>47</v>
      </c>
      <c r="G82" s="3">
        <v>172</v>
      </c>
      <c r="H82" s="3">
        <v>159</v>
      </c>
      <c r="I82" s="4">
        <f>(Data[[#This Row],[MRP (₹)]]-Data[[#This Row],[Selling Price (₹)]])/Data[[#This Row],[MRP (₹)]]</f>
        <v>7.5581395348837205E-2</v>
      </c>
      <c r="J82" t="s">
        <v>15</v>
      </c>
      <c r="K82" s="2">
        <v>18</v>
      </c>
    </row>
    <row r="83" spans="1:11" x14ac:dyDescent="0.3">
      <c r="A83" s="5">
        <v>46084.445138888892</v>
      </c>
      <c r="B83" t="s">
        <v>32</v>
      </c>
      <c r="C83">
        <v>560102</v>
      </c>
      <c r="D83" t="s">
        <v>30</v>
      </c>
      <c r="E83" t="s">
        <v>16</v>
      </c>
      <c r="F83" t="s">
        <v>48</v>
      </c>
      <c r="G83" s="3">
        <v>355</v>
      </c>
      <c r="H83" s="3">
        <v>237</v>
      </c>
      <c r="I83" s="4">
        <f>(Data[[#This Row],[MRP (₹)]]-Data[[#This Row],[Selling Price (₹)]])/Data[[#This Row],[MRP (₹)]]</f>
        <v>0.3323943661971831</v>
      </c>
      <c r="J83" t="s">
        <v>15</v>
      </c>
      <c r="K83" s="2">
        <v>18</v>
      </c>
    </row>
    <row r="84" spans="1:11" x14ac:dyDescent="0.3">
      <c r="A84" s="5">
        <v>46084.445138888892</v>
      </c>
      <c r="B84" t="s">
        <v>32</v>
      </c>
      <c r="C84">
        <v>560102</v>
      </c>
      <c r="D84" t="s">
        <v>30</v>
      </c>
      <c r="E84" t="s">
        <v>17</v>
      </c>
      <c r="F84" t="s">
        <v>49</v>
      </c>
      <c r="G84" s="3">
        <v>199</v>
      </c>
      <c r="H84" s="3">
        <v>172</v>
      </c>
      <c r="I84" s="4">
        <f>(Data[[#This Row],[MRP (₹)]]-Data[[#This Row],[Selling Price (₹)]])/Data[[#This Row],[MRP (₹)]]</f>
        <v>0.135678391959799</v>
      </c>
      <c r="J84" t="s">
        <v>15</v>
      </c>
      <c r="K84" s="2">
        <v>18</v>
      </c>
    </row>
    <row r="85" spans="1:11" x14ac:dyDescent="0.3">
      <c r="A85" s="5">
        <v>46084.445138888892</v>
      </c>
      <c r="B85" t="s">
        <v>32</v>
      </c>
      <c r="C85">
        <v>560102</v>
      </c>
      <c r="D85" t="s">
        <v>30</v>
      </c>
      <c r="E85" t="s">
        <v>19</v>
      </c>
      <c r="F85" t="s">
        <v>50</v>
      </c>
      <c r="G85" s="3">
        <v>140</v>
      </c>
      <c r="H85" s="3">
        <v>140</v>
      </c>
      <c r="I85" s="4">
        <f>(Data[[#This Row],[MRP (₹)]]-Data[[#This Row],[Selling Price (₹)]])/Data[[#This Row],[MRP (₹)]]</f>
        <v>0</v>
      </c>
      <c r="J85" t="s">
        <v>15</v>
      </c>
      <c r="K85" s="2">
        <v>18</v>
      </c>
    </row>
    <row r="86" spans="1:11" x14ac:dyDescent="0.3">
      <c r="A86" s="5">
        <v>46084.445138888892</v>
      </c>
      <c r="B86" t="s">
        <v>32</v>
      </c>
      <c r="C86">
        <v>560102</v>
      </c>
      <c r="D86" t="s">
        <v>30</v>
      </c>
      <c r="E86" t="s">
        <v>21</v>
      </c>
      <c r="F86" t="s">
        <v>51</v>
      </c>
      <c r="G86" s="3">
        <v>172</v>
      </c>
      <c r="H86" s="3">
        <v>158</v>
      </c>
      <c r="I86" s="4">
        <f>(Data[[#This Row],[MRP (₹)]]-Data[[#This Row],[Selling Price (₹)]])/Data[[#This Row],[MRP (₹)]]</f>
        <v>8.1395348837209308E-2</v>
      </c>
      <c r="J86" t="s">
        <v>15</v>
      </c>
      <c r="K86" s="2">
        <v>18</v>
      </c>
    </row>
    <row r="87" spans="1:11" x14ac:dyDescent="0.3">
      <c r="A87" s="5">
        <v>46084.445138888892</v>
      </c>
      <c r="B87" t="s">
        <v>32</v>
      </c>
      <c r="C87">
        <v>560102</v>
      </c>
      <c r="D87" t="s">
        <v>30</v>
      </c>
      <c r="E87" t="s">
        <v>22</v>
      </c>
      <c r="F87" t="s">
        <v>23</v>
      </c>
      <c r="G87" s="3">
        <v>415</v>
      </c>
      <c r="H87" s="3">
        <v>276</v>
      </c>
      <c r="I87" s="4">
        <f>(Data[[#This Row],[MRP (₹)]]-Data[[#This Row],[Selling Price (₹)]])/Data[[#This Row],[MRP (₹)]]</f>
        <v>0.33493975903614459</v>
      </c>
      <c r="J87" t="s">
        <v>15</v>
      </c>
      <c r="K87" s="2">
        <v>18</v>
      </c>
    </row>
    <row r="88" spans="1:11" x14ac:dyDescent="0.3">
      <c r="A88" s="5">
        <v>46084.445138888892</v>
      </c>
      <c r="B88" t="s">
        <v>32</v>
      </c>
      <c r="C88">
        <v>560102</v>
      </c>
      <c r="D88" t="s">
        <v>30</v>
      </c>
      <c r="E88" t="s">
        <v>24</v>
      </c>
      <c r="F88" t="s">
        <v>52</v>
      </c>
      <c r="G88" s="3">
        <v>158</v>
      </c>
      <c r="H88" s="3">
        <v>146</v>
      </c>
      <c r="I88" s="4">
        <f>(Data[[#This Row],[MRP (₹)]]-Data[[#This Row],[Selling Price (₹)]])/Data[[#This Row],[MRP (₹)]]</f>
        <v>7.5949367088607597E-2</v>
      </c>
      <c r="J88" t="s">
        <v>15</v>
      </c>
      <c r="K88" s="2">
        <v>18</v>
      </c>
    </row>
    <row r="89" spans="1:11" x14ac:dyDescent="0.3">
      <c r="A89" s="5">
        <v>46084.445138888892</v>
      </c>
      <c r="B89" t="s">
        <v>32</v>
      </c>
      <c r="C89">
        <v>560102</v>
      </c>
      <c r="D89" t="s">
        <v>30</v>
      </c>
      <c r="E89" t="s">
        <v>25</v>
      </c>
      <c r="F89" t="s">
        <v>53</v>
      </c>
      <c r="G89" s="3">
        <v>135</v>
      </c>
      <c r="H89" s="3">
        <v>132</v>
      </c>
      <c r="I89" s="4">
        <f>(Data[[#This Row],[MRP (₹)]]-Data[[#This Row],[Selling Price (₹)]])/Data[[#This Row],[MRP (₹)]]</f>
        <v>2.2222222222222223E-2</v>
      </c>
      <c r="J89" t="s">
        <v>15</v>
      </c>
      <c r="K89" s="2">
        <v>18</v>
      </c>
    </row>
    <row r="90" spans="1:11" x14ac:dyDescent="0.3">
      <c r="A90" s="5">
        <v>46084.445138888892</v>
      </c>
      <c r="B90" t="s">
        <v>32</v>
      </c>
      <c r="C90">
        <v>560102</v>
      </c>
      <c r="D90" t="s">
        <v>30</v>
      </c>
      <c r="E90" t="s">
        <v>26</v>
      </c>
      <c r="F90" t="s">
        <v>54</v>
      </c>
      <c r="G90" s="3">
        <v>1299</v>
      </c>
      <c r="H90" s="3">
        <v>801</v>
      </c>
      <c r="I90" s="4">
        <f>(Data[[#This Row],[MRP (₹)]]-Data[[#This Row],[Selling Price (₹)]])/Data[[#This Row],[MRP (₹)]]</f>
        <v>0.38337182448036949</v>
      </c>
      <c r="J90" t="s">
        <v>15</v>
      </c>
      <c r="K90" s="2">
        <v>18</v>
      </c>
    </row>
    <row r="91" spans="1:11" ht="39" customHeight="1" x14ac:dyDescent="0.3">
      <c r="A91" s="5">
        <v>46084.445138888892</v>
      </c>
      <c r="B91" t="s">
        <v>32</v>
      </c>
      <c r="C91">
        <v>560102</v>
      </c>
      <c r="D91" t="s">
        <v>30</v>
      </c>
      <c r="E91" t="s">
        <v>27</v>
      </c>
      <c r="F91" t="s">
        <v>55</v>
      </c>
      <c r="G91" s="3">
        <v>319</v>
      </c>
      <c r="H91" s="3">
        <v>223</v>
      </c>
      <c r="I91" s="4">
        <f>(Data[[#This Row],[MRP (₹)]]-Data[[#This Row],[Selling Price (₹)]])/Data[[#This Row],[MRP (₹)]]</f>
        <v>0.30094043887147337</v>
      </c>
      <c r="J91" t="s">
        <v>15</v>
      </c>
      <c r="K91" s="2">
        <v>18</v>
      </c>
    </row>
    <row r="92" spans="1:11" ht="21" customHeight="1" x14ac:dyDescent="0.3">
      <c r="A92" s="5">
        <v>46084.446527777778</v>
      </c>
      <c r="B92" t="s">
        <v>32</v>
      </c>
      <c r="C92">
        <v>560041</v>
      </c>
      <c r="D92" t="s">
        <v>31</v>
      </c>
      <c r="E92" t="s">
        <v>13</v>
      </c>
      <c r="F92" t="s">
        <v>47</v>
      </c>
      <c r="G92" s="3">
        <v>172</v>
      </c>
      <c r="H92" s="3">
        <v>159</v>
      </c>
      <c r="I92" s="4">
        <f>(Data[[#This Row],[MRP (₹)]]-Data[[#This Row],[Selling Price (₹)]])/Data[[#This Row],[MRP (₹)]]</f>
        <v>7.5581395348837205E-2</v>
      </c>
      <c r="J92" t="s">
        <v>15</v>
      </c>
      <c r="K92" s="2">
        <v>15</v>
      </c>
    </row>
    <row r="93" spans="1:11" x14ac:dyDescent="0.3">
      <c r="A93" s="5">
        <v>46084.446527777778</v>
      </c>
      <c r="B93" t="s">
        <v>32</v>
      </c>
      <c r="C93">
        <v>560041</v>
      </c>
      <c r="D93" t="s">
        <v>31</v>
      </c>
      <c r="E93" t="s">
        <v>16</v>
      </c>
      <c r="F93" t="s">
        <v>48</v>
      </c>
      <c r="G93" s="3">
        <v>355</v>
      </c>
      <c r="H93" s="3">
        <v>237</v>
      </c>
      <c r="I93" s="4">
        <f>(Data[[#This Row],[MRP (₹)]]-Data[[#This Row],[Selling Price (₹)]])/Data[[#This Row],[MRP (₹)]]</f>
        <v>0.3323943661971831</v>
      </c>
      <c r="J93" t="s">
        <v>15</v>
      </c>
      <c r="K93" s="2">
        <v>15</v>
      </c>
    </row>
    <row r="94" spans="1:11" x14ac:dyDescent="0.3">
      <c r="A94" s="5">
        <v>46084.446527777778</v>
      </c>
      <c r="B94" t="s">
        <v>32</v>
      </c>
      <c r="C94">
        <v>560041</v>
      </c>
      <c r="D94" t="s">
        <v>31</v>
      </c>
      <c r="E94" t="s">
        <v>17</v>
      </c>
      <c r="F94" t="s">
        <v>49</v>
      </c>
      <c r="G94" s="3">
        <v>199</v>
      </c>
      <c r="H94" s="3">
        <v>172</v>
      </c>
      <c r="I94" s="4">
        <f>(Data[[#This Row],[MRP (₹)]]-Data[[#This Row],[Selling Price (₹)]])/Data[[#This Row],[MRP (₹)]]</f>
        <v>0.135678391959799</v>
      </c>
      <c r="J94" t="s">
        <v>15</v>
      </c>
      <c r="K94" s="2">
        <v>15</v>
      </c>
    </row>
    <row r="95" spans="1:11" x14ac:dyDescent="0.3">
      <c r="A95" s="5">
        <v>46084.446527777778</v>
      </c>
      <c r="B95" t="s">
        <v>32</v>
      </c>
      <c r="C95">
        <v>560041</v>
      </c>
      <c r="D95" t="s">
        <v>31</v>
      </c>
      <c r="E95" t="s">
        <v>19</v>
      </c>
      <c r="F95" t="s">
        <v>50</v>
      </c>
      <c r="G95" s="3">
        <v>140</v>
      </c>
      <c r="H95" s="3">
        <v>140</v>
      </c>
      <c r="I95" s="4">
        <f>(Data[[#This Row],[MRP (₹)]]-Data[[#This Row],[Selling Price (₹)]])/Data[[#This Row],[MRP (₹)]]</f>
        <v>0</v>
      </c>
      <c r="J95" t="s">
        <v>15</v>
      </c>
      <c r="K95" s="2">
        <v>15</v>
      </c>
    </row>
    <row r="96" spans="1:11" x14ac:dyDescent="0.3">
      <c r="A96" s="5">
        <v>46084.446527777778</v>
      </c>
      <c r="B96" t="s">
        <v>32</v>
      </c>
      <c r="C96">
        <v>560041</v>
      </c>
      <c r="D96" t="s">
        <v>31</v>
      </c>
      <c r="E96" t="s">
        <v>21</v>
      </c>
      <c r="F96" t="s">
        <v>51</v>
      </c>
      <c r="G96" s="3">
        <v>172</v>
      </c>
      <c r="H96" s="3">
        <v>158</v>
      </c>
      <c r="I96" s="4">
        <f>(Data[[#This Row],[MRP (₹)]]-Data[[#This Row],[Selling Price (₹)]])/Data[[#This Row],[MRP (₹)]]</f>
        <v>8.1395348837209308E-2</v>
      </c>
      <c r="J96" t="s">
        <v>15</v>
      </c>
      <c r="K96" s="2">
        <v>15</v>
      </c>
    </row>
    <row r="97" spans="1:11" x14ac:dyDescent="0.3">
      <c r="A97" s="5">
        <v>46084.446527777778</v>
      </c>
      <c r="B97" t="s">
        <v>32</v>
      </c>
      <c r="C97">
        <v>560041</v>
      </c>
      <c r="D97" t="s">
        <v>31</v>
      </c>
      <c r="E97" t="s">
        <v>22</v>
      </c>
      <c r="F97" t="s">
        <v>23</v>
      </c>
      <c r="G97" s="3">
        <v>415</v>
      </c>
      <c r="H97" s="3">
        <v>276</v>
      </c>
      <c r="I97" s="4">
        <f>(Data[[#This Row],[MRP (₹)]]-Data[[#This Row],[Selling Price (₹)]])/Data[[#This Row],[MRP (₹)]]</f>
        <v>0.33493975903614459</v>
      </c>
      <c r="J97" t="s">
        <v>15</v>
      </c>
      <c r="K97" s="2">
        <v>15</v>
      </c>
    </row>
    <row r="98" spans="1:11" x14ac:dyDescent="0.3">
      <c r="A98" s="5">
        <v>46084.446527777778</v>
      </c>
      <c r="B98" t="s">
        <v>32</v>
      </c>
      <c r="C98">
        <v>560041</v>
      </c>
      <c r="D98" t="s">
        <v>31</v>
      </c>
      <c r="E98" t="s">
        <v>24</v>
      </c>
      <c r="F98" t="s">
        <v>52</v>
      </c>
      <c r="G98" s="3">
        <v>158</v>
      </c>
      <c r="H98" s="3">
        <v>146</v>
      </c>
      <c r="I98" s="4">
        <f>(Data[[#This Row],[MRP (₹)]]-Data[[#This Row],[Selling Price (₹)]])/Data[[#This Row],[MRP (₹)]]</f>
        <v>7.5949367088607597E-2</v>
      </c>
      <c r="J98" t="s">
        <v>15</v>
      </c>
      <c r="K98" s="2">
        <v>15</v>
      </c>
    </row>
    <row r="99" spans="1:11" x14ac:dyDescent="0.3">
      <c r="A99" s="5">
        <v>46084.446527777778</v>
      </c>
      <c r="B99" t="s">
        <v>32</v>
      </c>
      <c r="C99">
        <v>560041</v>
      </c>
      <c r="D99" t="s">
        <v>31</v>
      </c>
      <c r="E99" t="s">
        <v>25</v>
      </c>
      <c r="F99" t="s">
        <v>53</v>
      </c>
      <c r="G99" s="3">
        <v>135</v>
      </c>
      <c r="H99" s="3">
        <v>132</v>
      </c>
      <c r="I99" s="4">
        <f>(Data[[#This Row],[MRP (₹)]]-Data[[#This Row],[Selling Price (₹)]])/Data[[#This Row],[MRP (₹)]]</f>
        <v>2.2222222222222223E-2</v>
      </c>
      <c r="J99" t="s">
        <v>15</v>
      </c>
      <c r="K99" s="2">
        <v>15</v>
      </c>
    </row>
    <row r="100" spans="1:11" x14ac:dyDescent="0.3">
      <c r="A100" s="5">
        <v>46084.446527777778</v>
      </c>
      <c r="B100" t="s">
        <v>32</v>
      </c>
      <c r="C100">
        <v>560041</v>
      </c>
      <c r="D100" t="s">
        <v>31</v>
      </c>
      <c r="E100" t="s">
        <v>26</v>
      </c>
      <c r="F100" t="s">
        <v>54</v>
      </c>
      <c r="G100" s="3">
        <v>1299</v>
      </c>
      <c r="H100" s="3">
        <v>801</v>
      </c>
      <c r="I100" s="4">
        <f>(Data[[#This Row],[MRP (₹)]]-Data[[#This Row],[Selling Price (₹)]])/Data[[#This Row],[MRP (₹)]]</f>
        <v>0.38337182448036949</v>
      </c>
      <c r="J100" t="s">
        <v>15</v>
      </c>
      <c r="K100" s="2">
        <v>15</v>
      </c>
    </row>
    <row r="101" spans="1:11" ht="46.8" customHeight="1" x14ac:dyDescent="0.3">
      <c r="A101" s="5">
        <v>46084.446527777778</v>
      </c>
      <c r="B101" t="s">
        <v>32</v>
      </c>
      <c r="C101">
        <v>560041</v>
      </c>
      <c r="D101" t="s">
        <v>31</v>
      </c>
      <c r="E101" t="s">
        <v>27</v>
      </c>
      <c r="F101" t="s">
        <v>55</v>
      </c>
      <c r="G101" s="3">
        <v>319</v>
      </c>
      <c r="H101" s="3">
        <v>223</v>
      </c>
      <c r="I101" s="4">
        <f>(Data[[#This Row],[MRP (₹)]]-Data[[#This Row],[Selling Price (₹)]])/Data[[#This Row],[MRP (₹)]]</f>
        <v>0.30094043887147337</v>
      </c>
      <c r="J101" t="s">
        <v>15</v>
      </c>
      <c r="K101" s="2">
        <v>15</v>
      </c>
    </row>
    <row r="102" spans="1:11" ht="20.399999999999999" customHeight="1" x14ac:dyDescent="0.3">
      <c r="A102" s="5">
        <v>46084.451388888891</v>
      </c>
      <c r="B102" t="s">
        <v>33</v>
      </c>
      <c r="C102">
        <v>560038</v>
      </c>
      <c r="D102" t="s">
        <v>12</v>
      </c>
      <c r="E102" t="s">
        <v>13</v>
      </c>
      <c r="F102" t="s">
        <v>56</v>
      </c>
      <c r="G102" s="3">
        <v>435</v>
      </c>
      <c r="H102" s="3">
        <v>324</v>
      </c>
      <c r="I102" s="4">
        <f>(Data[[#This Row],[MRP (₹)]]-Data[[#This Row],[Selling Price (₹)]])/Data[[#This Row],[MRP (₹)]]</f>
        <v>0.25517241379310346</v>
      </c>
      <c r="J102" t="s">
        <v>15</v>
      </c>
      <c r="K102" s="2">
        <v>7</v>
      </c>
    </row>
    <row r="103" spans="1:11" x14ac:dyDescent="0.3">
      <c r="A103" s="5">
        <v>46084.451388888891</v>
      </c>
      <c r="B103" t="s">
        <v>33</v>
      </c>
      <c r="C103">
        <v>560038</v>
      </c>
      <c r="D103" t="s">
        <v>12</v>
      </c>
      <c r="E103" t="s">
        <v>16</v>
      </c>
      <c r="F103" t="s">
        <v>57</v>
      </c>
      <c r="G103" s="3">
        <v>899</v>
      </c>
      <c r="H103" s="3">
        <v>548</v>
      </c>
      <c r="I103" s="4">
        <f>(Data[[#This Row],[MRP (₹)]]-Data[[#This Row],[Selling Price (₹)]])/Data[[#This Row],[MRP (₹)]]</f>
        <v>0.39043381535038935</v>
      </c>
      <c r="J103" t="s">
        <v>15</v>
      </c>
      <c r="K103" s="2">
        <v>7</v>
      </c>
    </row>
    <row r="104" spans="1:11" x14ac:dyDescent="0.3">
      <c r="A104" s="5">
        <v>46084.451388888891</v>
      </c>
      <c r="B104" t="s">
        <v>33</v>
      </c>
      <c r="C104">
        <v>560038</v>
      </c>
      <c r="D104" t="s">
        <v>12</v>
      </c>
      <c r="E104" t="s">
        <v>17</v>
      </c>
      <c r="F104" t="s">
        <v>58</v>
      </c>
      <c r="G104" s="3">
        <v>479</v>
      </c>
      <c r="H104" s="3">
        <v>345</v>
      </c>
      <c r="I104" s="4">
        <f>(Data[[#This Row],[MRP (₹)]]-Data[[#This Row],[Selling Price (₹)]])/Data[[#This Row],[MRP (₹)]]</f>
        <v>0.27974947807933193</v>
      </c>
      <c r="J104" t="s">
        <v>15</v>
      </c>
      <c r="K104" s="2">
        <v>7</v>
      </c>
    </row>
    <row r="105" spans="1:11" x14ac:dyDescent="0.3">
      <c r="A105" s="5">
        <v>46084.451388888891</v>
      </c>
      <c r="B105" t="s">
        <v>33</v>
      </c>
      <c r="C105">
        <v>560038</v>
      </c>
      <c r="D105" t="s">
        <v>12</v>
      </c>
      <c r="E105" t="s">
        <v>19</v>
      </c>
      <c r="F105" t="s">
        <v>59</v>
      </c>
      <c r="G105" s="3">
        <v>340</v>
      </c>
      <c r="H105" s="3">
        <v>254</v>
      </c>
      <c r="I105" s="4">
        <f>(Data[[#This Row],[MRP (₹)]]-Data[[#This Row],[Selling Price (₹)]])/Data[[#This Row],[MRP (₹)]]</f>
        <v>0.25294117647058822</v>
      </c>
      <c r="J105" t="s">
        <v>15</v>
      </c>
      <c r="K105" s="2">
        <v>7</v>
      </c>
    </row>
    <row r="106" spans="1:11" x14ac:dyDescent="0.3">
      <c r="A106" s="5">
        <v>46084.451388888891</v>
      </c>
      <c r="B106" t="s">
        <v>33</v>
      </c>
      <c r="C106">
        <v>560038</v>
      </c>
      <c r="D106" t="s">
        <v>12</v>
      </c>
      <c r="E106" t="s">
        <v>21</v>
      </c>
      <c r="F106" t="s">
        <v>60</v>
      </c>
      <c r="G106" s="3">
        <v>865</v>
      </c>
      <c r="H106" s="3">
        <v>476</v>
      </c>
      <c r="I106" s="4">
        <f>(Data[[#This Row],[MRP (₹)]]-Data[[#This Row],[Selling Price (₹)]])/Data[[#This Row],[MRP (₹)]]</f>
        <v>0.44971098265895953</v>
      </c>
      <c r="J106" t="s">
        <v>15</v>
      </c>
      <c r="K106" s="2">
        <v>7</v>
      </c>
    </row>
    <row r="107" spans="1:11" x14ac:dyDescent="0.3">
      <c r="A107" s="5">
        <v>46084.451388888891</v>
      </c>
      <c r="B107" t="s">
        <v>33</v>
      </c>
      <c r="C107">
        <v>560038</v>
      </c>
      <c r="D107" t="s">
        <v>12</v>
      </c>
      <c r="E107" t="s">
        <v>22</v>
      </c>
      <c r="F107" t="s">
        <v>61</v>
      </c>
      <c r="G107" s="3">
        <v>190</v>
      </c>
      <c r="H107" s="3">
        <v>180</v>
      </c>
      <c r="I107" s="4">
        <f>(Data[[#This Row],[MRP (₹)]]-Data[[#This Row],[Selling Price (₹)]])/Data[[#This Row],[MRP (₹)]]</f>
        <v>5.2631578947368418E-2</v>
      </c>
      <c r="J107" t="s">
        <v>15</v>
      </c>
      <c r="K107" s="2">
        <v>7</v>
      </c>
    </row>
    <row r="108" spans="1:11" x14ac:dyDescent="0.3">
      <c r="A108" s="5">
        <v>46084.451388888891</v>
      </c>
      <c r="B108" t="s">
        <v>33</v>
      </c>
      <c r="C108">
        <v>560038</v>
      </c>
      <c r="D108" t="s">
        <v>12</v>
      </c>
      <c r="E108" t="s">
        <v>24</v>
      </c>
      <c r="F108" t="s">
        <v>62</v>
      </c>
      <c r="G108" s="3">
        <v>370</v>
      </c>
      <c r="H108" s="3">
        <v>276</v>
      </c>
      <c r="I108" s="4">
        <f>(Data[[#This Row],[MRP (₹)]]-Data[[#This Row],[Selling Price (₹)]])/Data[[#This Row],[MRP (₹)]]</f>
        <v>0.25405405405405407</v>
      </c>
      <c r="J108" t="s">
        <v>15</v>
      </c>
      <c r="K108" s="2">
        <v>7</v>
      </c>
    </row>
    <row r="109" spans="1:11" x14ac:dyDescent="0.3">
      <c r="A109" s="5">
        <v>46084.451388888891</v>
      </c>
      <c r="B109" t="s">
        <v>33</v>
      </c>
      <c r="C109">
        <v>560038</v>
      </c>
      <c r="D109" t="s">
        <v>12</v>
      </c>
      <c r="E109" t="s">
        <v>25</v>
      </c>
      <c r="F109" t="s">
        <v>53</v>
      </c>
      <c r="G109" s="3">
        <v>135</v>
      </c>
      <c r="H109" s="3">
        <v>135</v>
      </c>
      <c r="I109" s="4">
        <f>(Data[[#This Row],[MRP (₹)]]-Data[[#This Row],[Selling Price (₹)]])/Data[[#This Row],[MRP (₹)]]</f>
        <v>0</v>
      </c>
      <c r="J109" t="s">
        <v>15</v>
      </c>
      <c r="K109" s="2">
        <v>7</v>
      </c>
    </row>
    <row r="110" spans="1:11" x14ac:dyDescent="0.3">
      <c r="A110" s="5">
        <v>46084.451388888891</v>
      </c>
      <c r="B110" t="s">
        <v>33</v>
      </c>
      <c r="C110">
        <v>560038</v>
      </c>
      <c r="D110" t="s">
        <v>12</v>
      </c>
      <c r="E110" t="s">
        <v>26</v>
      </c>
      <c r="F110" t="s">
        <v>54</v>
      </c>
      <c r="G110" s="3">
        <v>1299</v>
      </c>
      <c r="H110" s="3">
        <v>844</v>
      </c>
      <c r="I110" s="4">
        <f>(Data[[#This Row],[MRP (₹)]]-Data[[#This Row],[Selling Price (₹)]])/Data[[#This Row],[MRP (₹)]]</f>
        <v>0.35026943802925325</v>
      </c>
      <c r="J110" t="s">
        <v>15</v>
      </c>
      <c r="K110" s="2">
        <v>7</v>
      </c>
    </row>
    <row r="111" spans="1:11" ht="40.799999999999997" customHeight="1" x14ac:dyDescent="0.3">
      <c r="A111" s="5">
        <v>46084.451388888891</v>
      </c>
      <c r="B111" t="s">
        <v>33</v>
      </c>
      <c r="C111">
        <v>560038</v>
      </c>
      <c r="D111" t="s">
        <v>12</v>
      </c>
      <c r="E111" t="s">
        <v>27</v>
      </c>
      <c r="F111" t="s">
        <v>55</v>
      </c>
      <c r="G111" s="3">
        <v>319</v>
      </c>
      <c r="H111" s="3">
        <v>239</v>
      </c>
      <c r="I111" s="4">
        <f>(Data[[#This Row],[MRP (₹)]]-Data[[#This Row],[Selling Price (₹)]])/Data[[#This Row],[MRP (₹)]]</f>
        <v>0.2507836990595611</v>
      </c>
      <c r="J111" t="s">
        <v>15</v>
      </c>
      <c r="K111" s="2">
        <v>7</v>
      </c>
    </row>
    <row r="112" spans="1:11" ht="31.8" customHeight="1" x14ac:dyDescent="0.3">
      <c r="A112" s="5">
        <v>46084.453472222223</v>
      </c>
      <c r="B112" t="s">
        <v>33</v>
      </c>
      <c r="C112">
        <v>560034</v>
      </c>
      <c r="D112" t="s">
        <v>28</v>
      </c>
      <c r="E112" t="s">
        <v>13</v>
      </c>
      <c r="F112" t="s">
        <v>56</v>
      </c>
      <c r="G112" s="3">
        <v>435</v>
      </c>
      <c r="H112" s="3">
        <v>324</v>
      </c>
      <c r="I112" s="4">
        <f>(Data[[#This Row],[MRP (₹)]]-Data[[#This Row],[Selling Price (₹)]])/Data[[#This Row],[MRP (₹)]]</f>
        <v>0.25517241379310346</v>
      </c>
      <c r="J112" t="s">
        <v>15</v>
      </c>
      <c r="K112" s="2">
        <v>10</v>
      </c>
    </row>
    <row r="113" spans="1:11" x14ac:dyDescent="0.3">
      <c r="A113" s="5">
        <v>46084.453472222223</v>
      </c>
      <c r="B113" t="s">
        <v>33</v>
      </c>
      <c r="C113">
        <v>560034</v>
      </c>
      <c r="D113" t="s">
        <v>28</v>
      </c>
      <c r="E113" t="s">
        <v>16</v>
      </c>
      <c r="F113" t="s">
        <v>57</v>
      </c>
      <c r="G113" s="3">
        <v>899</v>
      </c>
      <c r="H113" s="3">
        <v>548</v>
      </c>
      <c r="I113" s="4">
        <f>(Data[[#This Row],[MRP (₹)]]-Data[[#This Row],[Selling Price (₹)]])/Data[[#This Row],[MRP (₹)]]</f>
        <v>0.39043381535038935</v>
      </c>
      <c r="J113" t="s">
        <v>15</v>
      </c>
      <c r="K113" s="2">
        <v>10</v>
      </c>
    </row>
    <row r="114" spans="1:11" x14ac:dyDescent="0.3">
      <c r="A114" s="5">
        <v>46084.453472222223</v>
      </c>
      <c r="B114" t="s">
        <v>33</v>
      </c>
      <c r="C114">
        <v>560034</v>
      </c>
      <c r="D114" t="s">
        <v>28</v>
      </c>
      <c r="E114" t="s">
        <v>17</v>
      </c>
      <c r="F114" t="s">
        <v>58</v>
      </c>
      <c r="G114" s="3">
        <v>479</v>
      </c>
      <c r="H114" s="3">
        <v>345</v>
      </c>
      <c r="I114" s="4">
        <f>(Data[[#This Row],[MRP (₹)]]-Data[[#This Row],[Selling Price (₹)]])/Data[[#This Row],[MRP (₹)]]</f>
        <v>0.27974947807933193</v>
      </c>
      <c r="J114" t="s">
        <v>15</v>
      </c>
      <c r="K114" s="2">
        <v>10</v>
      </c>
    </row>
    <row r="115" spans="1:11" x14ac:dyDescent="0.3">
      <c r="A115" s="5">
        <v>46084.453472222223</v>
      </c>
      <c r="B115" t="s">
        <v>33</v>
      </c>
      <c r="C115">
        <v>560034</v>
      </c>
      <c r="D115" t="s">
        <v>28</v>
      </c>
      <c r="E115" t="s">
        <v>19</v>
      </c>
      <c r="F115" t="s">
        <v>59</v>
      </c>
      <c r="G115" s="3">
        <v>340</v>
      </c>
      <c r="H115" s="3">
        <v>254</v>
      </c>
      <c r="I115" s="4">
        <f>(Data[[#This Row],[MRP (₹)]]-Data[[#This Row],[Selling Price (₹)]])/Data[[#This Row],[MRP (₹)]]</f>
        <v>0.25294117647058822</v>
      </c>
      <c r="J115" t="s">
        <v>15</v>
      </c>
      <c r="K115" s="2">
        <v>10</v>
      </c>
    </row>
    <row r="116" spans="1:11" x14ac:dyDescent="0.3">
      <c r="A116" s="5">
        <v>46084.453472222223</v>
      </c>
      <c r="B116" t="s">
        <v>33</v>
      </c>
      <c r="C116">
        <v>560034</v>
      </c>
      <c r="D116" t="s">
        <v>28</v>
      </c>
      <c r="E116" t="s">
        <v>21</v>
      </c>
      <c r="F116" t="s">
        <v>60</v>
      </c>
      <c r="G116" s="3">
        <v>865</v>
      </c>
      <c r="H116" s="3">
        <v>476</v>
      </c>
      <c r="I116" s="4">
        <f>(Data[[#This Row],[MRP (₹)]]-Data[[#This Row],[Selling Price (₹)]])/Data[[#This Row],[MRP (₹)]]</f>
        <v>0.44971098265895953</v>
      </c>
      <c r="J116" t="s">
        <v>15</v>
      </c>
      <c r="K116" s="2">
        <v>10</v>
      </c>
    </row>
    <row r="117" spans="1:11" x14ac:dyDescent="0.3">
      <c r="A117" s="5">
        <v>46084.453472222223</v>
      </c>
      <c r="B117" t="s">
        <v>33</v>
      </c>
      <c r="C117">
        <v>560034</v>
      </c>
      <c r="D117" t="s">
        <v>28</v>
      </c>
      <c r="E117" t="s">
        <v>22</v>
      </c>
      <c r="F117" t="s">
        <v>61</v>
      </c>
      <c r="G117" s="3">
        <v>190</v>
      </c>
      <c r="H117" s="3">
        <v>180</v>
      </c>
      <c r="I117" s="4">
        <f>(Data[[#This Row],[MRP (₹)]]-Data[[#This Row],[Selling Price (₹)]])/Data[[#This Row],[MRP (₹)]]</f>
        <v>5.2631578947368418E-2</v>
      </c>
      <c r="J117" t="s">
        <v>15</v>
      </c>
      <c r="K117" s="2">
        <v>10</v>
      </c>
    </row>
    <row r="118" spans="1:11" x14ac:dyDescent="0.3">
      <c r="A118" s="5">
        <v>46084.453472222223</v>
      </c>
      <c r="B118" t="s">
        <v>33</v>
      </c>
      <c r="C118">
        <v>560034</v>
      </c>
      <c r="D118" t="s">
        <v>28</v>
      </c>
      <c r="E118" t="s">
        <v>24</v>
      </c>
      <c r="F118" t="s">
        <v>62</v>
      </c>
      <c r="G118" s="3">
        <v>370</v>
      </c>
      <c r="H118" s="3">
        <v>276</v>
      </c>
      <c r="I118" s="4">
        <f>(Data[[#This Row],[MRP (₹)]]-Data[[#This Row],[Selling Price (₹)]])/Data[[#This Row],[MRP (₹)]]</f>
        <v>0.25405405405405407</v>
      </c>
      <c r="J118" t="s">
        <v>15</v>
      </c>
      <c r="K118" s="2">
        <v>10</v>
      </c>
    </row>
    <row r="119" spans="1:11" x14ac:dyDescent="0.3">
      <c r="A119" s="5">
        <v>46084.453472222223</v>
      </c>
      <c r="B119" t="s">
        <v>33</v>
      </c>
      <c r="C119">
        <v>560034</v>
      </c>
      <c r="D119" t="s">
        <v>28</v>
      </c>
      <c r="E119" t="s">
        <v>25</v>
      </c>
      <c r="F119" t="s">
        <v>53</v>
      </c>
      <c r="G119" s="3">
        <v>135</v>
      </c>
      <c r="H119" s="3">
        <v>135</v>
      </c>
      <c r="I119" s="4">
        <f>(Data[[#This Row],[MRP (₹)]]-Data[[#This Row],[Selling Price (₹)]])/Data[[#This Row],[MRP (₹)]]</f>
        <v>0</v>
      </c>
      <c r="J119" t="s">
        <v>15</v>
      </c>
      <c r="K119" s="2">
        <v>10</v>
      </c>
    </row>
    <row r="120" spans="1:11" x14ac:dyDescent="0.3">
      <c r="A120" s="5">
        <v>46084.453472222223</v>
      </c>
      <c r="B120" t="s">
        <v>33</v>
      </c>
      <c r="C120">
        <v>560034</v>
      </c>
      <c r="D120" t="s">
        <v>28</v>
      </c>
      <c r="E120" t="s">
        <v>26</v>
      </c>
      <c r="F120" t="s">
        <v>54</v>
      </c>
      <c r="G120" s="3">
        <v>1299</v>
      </c>
      <c r="H120" s="3">
        <v>844</v>
      </c>
      <c r="I120" s="4">
        <f>(Data[[#This Row],[MRP (₹)]]-Data[[#This Row],[Selling Price (₹)]])/Data[[#This Row],[MRP (₹)]]</f>
        <v>0.35026943802925325</v>
      </c>
      <c r="J120" t="s">
        <v>15</v>
      </c>
      <c r="K120" s="2">
        <v>10</v>
      </c>
    </row>
    <row r="121" spans="1:11" ht="34.799999999999997" customHeight="1" x14ac:dyDescent="0.3">
      <c r="A121" s="5">
        <v>46084.453472222223</v>
      </c>
      <c r="B121" t="s">
        <v>33</v>
      </c>
      <c r="C121">
        <v>560034</v>
      </c>
      <c r="D121" t="s">
        <v>28</v>
      </c>
      <c r="E121" t="s">
        <v>27</v>
      </c>
      <c r="F121" t="s">
        <v>55</v>
      </c>
      <c r="G121" s="3">
        <v>319</v>
      </c>
      <c r="H121" s="3">
        <v>239</v>
      </c>
      <c r="I121" s="4">
        <f>(Data[[#This Row],[MRP (₹)]]-Data[[#This Row],[Selling Price (₹)]])/Data[[#This Row],[MRP (₹)]]</f>
        <v>0.2507836990595611</v>
      </c>
      <c r="J121" t="s">
        <v>15</v>
      </c>
      <c r="K121" s="2">
        <v>10</v>
      </c>
    </row>
    <row r="122" spans="1:11" ht="17.399999999999999" customHeight="1" x14ac:dyDescent="0.3">
      <c r="A122" s="5">
        <v>46084.456944444442</v>
      </c>
      <c r="B122" t="s">
        <v>33</v>
      </c>
      <c r="C122">
        <v>560066</v>
      </c>
      <c r="D122" t="s">
        <v>29</v>
      </c>
      <c r="E122" t="s">
        <v>13</v>
      </c>
      <c r="F122" t="s">
        <v>56</v>
      </c>
      <c r="G122" s="3">
        <v>435</v>
      </c>
      <c r="H122" s="3">
        <v>324</v>
      </c>
      <c r="I122" s="4">
        <f>(Data[[#This Row],[MRP (₹)]]-Data[[#This Row],[Selling Price (₹)]])/Data[[#This Row],[MRP (₹)]]</f>
        <v>0.25517241379310346</v>
      </c>
      <c r="J122" t="s">
        <v>15</v>
      </c>
      <c r="K122" s="2">
        <v>12</v>
      </c>
    </row>
    <row r="123" spans="1:11" x14ac:dyDescent="0.3">
      <c r="A123" s="5">
        <v>46084.456944444442</v>
      </c>
      <c r="B123" t="s">
        <v>33</v>
      </c>
      <c r="C123">
        <v>560066</v>
      </c>
      <c r="D123" t="s">
        <v>29</v>
      </c>
      <c r="E123" t="s">
        <v>16</v>
      </c>
      <c r="F123" t="s">
        <v>57</v>
      </c>
      <c r="G123" s="3">
        <v>899</v>
      </c>
      <c r="H123" s="3">
        <v>548</v>
      </c>
      <c r="I123" s="4">
        <f>(Data[[#This Row],[MRP (₹)]]-Data[[#This Row],[Selling Price (₹)]])/Data[[#This Row],[MRP (₹)]]</f>
        <v>0.39043381535038935</v>
      </c>
      <c r="J123" t="s">
        <v>15</v>
      </c>
      <c r="K123" s="2">
        <v>12</v>
      </c>
    </row>
    <row r="124" spans="1:11" x14ac:dyDescent="0.3">
      <c r="A124" s="5">
        <v>46084.456944444442</v>
      </c>
      <c r="B124" t="s">
        <v>33</v>
      </c>
      <c r="C124">
        <v>560066</v>
      </c>
      <c r="D124" t="s">
        <v>29</v>
      </c>
      <c r="E124" t="s">
        <v>17</v>
      </c>
      <c r="F124" t="s">
        <v>58</v>
      </c>
      <c r="G124" s="3">
        <v>479</v>
      </c>
      <c r="H124" s="3">
        <v>345</v>
      </c>
      <c r="I124" s="4">
        <f>(Data[[#This Row],[MRP (₹)]]-Data[[#This Row],[Selling Price (₹)]])/Data[[#This Row],[MRP (₹)]]</f>
        <v>0.27974947807933193</v>
      </c>
      <c r="J124" t="s">
        <v>15</v>
      </c>
      <c r="K124" s="2">
        <v>12</v>
      </c>
    </row>
    <row r="125" spans="1:11" x14ac:dyDescent="0.3">
      <c r="A125" s="5">
        <v>46084.456944444442</v>
      </c>
      <c r="B125" t="s">
        <v>33</v>
      </c>
      <c r="C125">
        <v>560066</v>
      </c>
      <c r="D125" t="s">
        <v>29</v>
      </c>
      <c r="E125" t="s">
        <v>19</v>
      </c>
      <c r="F125" t="s">
        <v>59</v>
      </c>
      <c r="G125" s="3">
        <v>340</v>
      </c>
      <c r="H125" s="3">
        <v>254</v>
      </c>
      <c r="I125" s="4">
        <f>(Data[[#This Row],[MRP (₹)]]-Data[[#This Row],[Selling Price (₹)]])/Data[[#This Row],[MRP (₹)]]</f>
        <v>0.25294117647058822</v>
      </c>
      <c r="J125" t="s">
        <v>15</v>
      </c>
      <c r="K125" s="2">
        <v>12</v>
      </c>
    </row>
    <row r="126" spans="1:11" x14ac:dyDescent="0.3">
      <c r="A126" s="5">
        <v>46084.456944444442</v>
      </c>
      <c r="B126" t="s">
        <v>33</v>
      </c>
      <c r="C126">
        <v>560066</v>
      </c>
      <c r="D126" t="s">
        <v>29</v>
      </c>
      <c r="E126" t="s">
        <v>21</v>
      </c>
      <c r="F126" t="s">
        <v>60</v>
      </c>
      <c r="G126" s="3">
        <v>865</v>
      </c>
      <c r="H126" s="3">
        <v>476</v>
      </c>
      <c r="I126" s="4">
        <f>(Data[[#This Row],[MRP (₹)]]-Data[[#This Row],[Selling Price (₹)]])/Data[[#This Row],[MRP (₹)]]</f>
        <v>0.44971098265895953</v>
      </c>
      <c r="J126" t="s">
        <v>15</v>
      </c>
      <c r="K126" s="2">
        <v>12</v>
      </c>
    </row>
    <row r="127" spans="1:11" x14ac:dyDescent="0.3">
      <c r="A127" s="5">
        <v>46084.456944444442</v>
      </c>
      <c r="B127" t="s">
        <v>33</v>
      </c>
      <c r="C127">
        <v>560066</v>
      </c>
      <c r="D127" t="s">
        <v>29</v>
      </c>
      <c r="E127" t="s">
        <v>22</v>
      </c>
      <c r="F127" t="s">
        <v>61</v>
      </c>
      <c r="G127" s="3">
        <v>190</v>
      </c>
      <c r="H127" s="3">
        <v>180</v>
      </c>
      <c r="I127" s="4">
        <f>(Data[[#This Row],[MRP (₹)]]-Data[[#This Row],[Selling Price (₹)]])/Data[[#This Row],[MRP (₹)]]</f>
        <v>5.2631578947368418E-2</v>
      </c>
      <c r="J127" t="s">
        <v>15</v>
      </c>
      <c r="K127" s="2">
        <v>12</v>
      </c>
    </row>
    <row r="128" spans="1:11" x14ac:dyDescent="0.3">
      <c r="A128" s="5">
        <v>46084.456944444442</v>
      </c>
      <c r="B128" t="s">
        <v>33</v>
      </c>
      <c r="C128">
        <v>560066</v>
      </c>
      <c r="D128" t="s">
        <v>29</v>
      </c>
      <c r="E128" t="s">
        <v>24</v>
      </c>
      <c r="F128" t="s">
        <v>62</v>
      </c>
      <c r="G128" s="3">
        <v>370</v>
      </c>
      <c r="H128" s="3">
        <v>276</v>
      </c>
      <c r="I128" s="4">
        <f>(Data[[#This Row],[MRP (₹)]]-Data[[#This Row],[Selling Price (₹)]])/Data[[#This Row],[MRP (₹)]]</f>
        <v>0.25405405405405407</v>
      </c>
      <c r="J128" t="s">
        <v>15</v>
      </c>
      <c r="K128" s="2">
        <v>12</v>
      </c>
    </row>
    <row r="129" spans="1:11" x14ac:dyDescent="0.3">
      <c r="A129" s="5">
        <v>46084.456944444442</v>
      </c>
      <c r="B129" t="s">
        <v>33</v>
      </c>
      <c r="C129">
        <v>560066</v>
      </c>
      <c r="D129" t="s">
        <v>29</v>
      </c>
      <c r="E129" t="s">
        <v>25</v>
      </c>
      <c r="F129" t="s">
        <v>53</v>
      </c>
      <c r="G129" s="3">
        <v>135</v>
      </c>
      <c r="H129" s="3">
        <v>135</v>
      </c>
      <c r="I129" s="4">
        <f>(Data[[#This Row],[MRP (₹)]]-Data[[#This Row],[Selling Price (₹)]])/Data[[#This Row],[MRP (₹)]]</f>
        <v>0</v>
      </c>
      <c r="J129" t="s">
        <v>15</v>
      </c>
      <c r="K129" s="2">
        <v>12</v>
      </c>
    </row>
    <row r="130" spans="1:11" x14ac:dyDescent="0.3">
      <c r="A130" s="5">
        <v>46084.456944444442</v>
      </c>
      <c r="B130" t="s">
        <v>33</v>
      </c>
      <c r="C130">
        <v>560066</v>
      </c>
      <c r="D130" t="s">
        <v>29</v>
      </c>
      <c r="E130" t="s">
        <v>26</v>
      </c>
      <c r="F130" t="s">
        <v>54</v>
      </c>
      <c r="G130" s="3">
        <v>1299</v>
      </c>
      <c r="H130" s="3">
        <v>844</v>
      </c>
      <c r="I130" s="4">
        <f>(Data[[#This Row],[MRP (₹)]]-Data[[#This Row],[Selling Price (₹)]])/Data[[#This Row],[MRP (₹)]]</f>
        <v>0.35026943802925325</v>
      </c>
      <c r="J130" t="s">
        <v>15</v>
      </c>
      <c r="K130" s="2">
        <v>12</v>
      </c>
    </row>
    <row r="131" spans="1:11" ht="46.8" customHeight="1" x14ac:dyDescent="0.3">
      <c r="A131" s="5">
        <v>46084.456944444442</v>
      </c>
      <c r="B131" t="s">
        <v>33</v>
      </c>
      <c r="C131">
        <v>560066</v>
      </c>
      <c r="D131" t="s">
        <v>29</v>
      </c>
      <c r="E131" t="s">
        <v>27</v>
      </c>
      <c r="F131" t="s">
        <v>55</v>
      </c>
      <c r="G131" s="3">
        <v>319</v>
      </c>
      <c r="H131" s="3">
        <v>239</v>
      </c>
      <c r="I131" s="4">
        <f>(Data[[#This Row],[MRP (₹)]]-Data[[#This Row],[Selling Price (₹)]])/Data[[#This Row],[MRP (₹)]]</f>
        <v>0.2507836990595611</v>
      </c>
      <c r="J131" t="s">
        <v>15</v>
      </c>
      <c r="K131" s="2">
        <v>12</v>
      </c>
    </row>
    <row r="132" spans="1:11" ht="40.200000000000003" customHeight="1" x14ac:dyDescent="0.3">
      <c r="A132" s="5">
        <v>46084.460416666669</v>
      </c>
      <c r="B132" t="s">
        <v>33</v>
      </c>
      <c r="C132">
        <v>560102</v>
      </c>
      <c r="D132" t="s">
        <v>30</v>
      </c>
      <c r="E132" t="s">
        <v>13</v>
      </c>
      <c r="F132" t="s">
        <v>56</v>
      </c>
      <c r="G132" s="3">
        <v>435</v>
      </c>
      <c r="H132" s="3">
        <v>324</v>
      </c>
      <c r="I132" s="4">
        <f>(Data[[#This Row],[MRP (₹)]]-Data[[#This Row],[Selling Price (₹)]])/Data[[#This Row],[MRP (₹)]]</f>
        <v>0.25517241379310346</v>
      </c>
      <c r="J132" t="s">
        <v>15</v>
      </c>
      <c r="K132" s="2">
        <v>18</v>
      </c>
    </row>
    <row r="133" spans="1:11" x14ac:dyDescent="0.3">
      <c r="A133" s="5">
        <v>46084.460416666669</v>
      </c>
      <c r="B133" t="s">
        <v>33</v>
      </c>
      <c r="C133">
        <v>560102</v>
      </c>
      <c r="D133" t="s">
        <v>30</v>
      </c>
      <c r="E133" t="s">
        <v>16</v>
      </c>
      <c r="F133" t="s">
        <v>57</v>
      </c>
      <c r="G133" s="3">
        <v>899</v>
      </c>
      <c r="H133" s="3">
        <v>548</v>
      </c>
      <c r="I133" s="4">
        <f>(Data[[#This Row],[MRP (₹)]]-Data[[#This Row],[Selling Price (₹)]])/Data[[#This Row],[MRP (₹)]]</f>
        <v>0.39043381535038935</v>
      </c>
      <c r="J133" t="s">
        <v>15</v>
      </c>
      <c r="K133" s="2">
        <v>18</v>
      </c>
    </row>
    <row r="134" spans="1:11" x14ac:dyDescent="0.3">
      <c r="A134" s="5">
        <v>46084.460416666669</v>
      </c>
      <c r="B134" t="s">
        <v>33</v>
      </c>
      <c r="C134">
        <v>560102</v>
      </c>
      <c r="D134" t="s">
        <v>30</v>
      </c>
      <c r="E134" t="s">
        <v>17</v>
      </c>
      <c r="F134" t="s">
        <v>58</v>
      </c>
      <c r="G134" s="3">
        <v>479</v>
      </c>
      <c r="H134" s="3">
        <v>345</v>
      </c>
      <c r="I134" s="4">
        <f>(Data[[#This Row],[MRP (₹)]]-Data[[#This Row],[Selling Price (₹)]])/Data[[#This Row],[MRP (₹)]]</f>
        <v>0.27974947807933193</v>
      </c>
      <c r="J134" t="s">
        <v>15</v>
      </c>
      <c r="K134" s="2">
        <v>18</v>
      </c>
    </row>
    <row r="135" spans="1:11" x14ac:dyDescent="0.3">
      <c r="A135" s="5">
        <v>46084.460416666669</v>
      </c>
      <c r="B135" t="s">
        <v>33</v>
      </c>
      <c r="C135">
        <v>560102</v>
      </c>
      <c r="D135" t="s">
        <v>30</v>
      </c>
      <c r="E135" t="s">
        <v>19</v>
      </c>
      <c r="F135" t="s">
        <v>59</v>
      </c>
      <c r="G135" s="3">
        <v>340</v>
      </c>
      <c r="H135" s="3">
        <v>254</v>
      </c>
      <c r="I135" s="4">
        <f>(Data[[#This Row],[MRP (₹)]]-Data[[#This Row],[Selling Price (₹)]])/Data[[#This Row],[MRP (₹)]]</f>
        <v>0.25294117647058822</v>
      </c>
      <c r="J135" t="s">
        <v>15</v>
      </c>
      <c r="K135" s="2">
        <v>18</v>
      </c>
    </row>
    <row r="136" spans="1:11" x14ac:dyDescent="0.3">
      <c r="A136" s="5">
        <v>46084.460416666669</v>
      </c>
      <c r="B136" t="s">
        <v>33</v>
      </c>
      <c r="C136">
        <v>560102</v>
      </c>
      <c r="D136" t="s">
        <v>30</v>
      </c>
      <c r="E136" t="s">
        <v>21</v>
      </c>
      <c r="F136" t="s">
        <v>60</v>
      </c>
      <c r="G136" s="3">
        <v>865</v>
      </c>
      <c r="H136" s="3">
        <v>476</v>
      </c>
      <c r="I136" s="4">
        <f>(Data[[#This Row],[MRP (₹)]]-Data[[#This Row],[Selling Price (₹)]])/Data[[#This Row],[MRP (₹)]]</f>
        <v>0.44971098265895953</v>
      </c>
      <c r="J136" t="s">
        <v>15</v>
      </c>
      <c r="K136" s="2">
        <v>18</v>
      </c>
    </row>
    <row r="137" spans="1:11" x14ac:dyDescent="0.3">
      <c r="A137" s="5">
        <v>46084.460416666669</v>
      </c>
      <c r="B137" t="s">
        <v>33</v>
      </c>
      <c r="C137">
        <v>560102</v>
      </c>
      <c r="D137" t="s">
        <v>30</v>
      </c>
      <c r="E137" t="s">
        <v>22</v>
      </c>
      <c r="F137" t="s">
        <v>61</v>
      </c>
      <c r="G137" s="3">
        <v>190</v>
      </c>
      <c r="H137" s="3">
        <v>180</v>
      </c>
      <c r="I137" s="4">
        <f>(Data[[#This Row],[MRP (₹)]]-Data[[#This Row],[Selling Price (₹)]])/Data[[#This Row],[MRP (₹)]]</f>
        <v>5.2631578947368418E-2</v>
      </c>
      <c r="J137" t="s">
        <v>15</v>
      </c>
      <c r="K137" s="2">
        <v>18</v>
      </c>
    </row>
    <row r="138" spans="1:11" x14ac:dyDescent="0.3">
      <c r="A138" s="5">
        <v>46084.460416666669</v>
      </c>
      <c r="B138" t="s">
        <v>33</v>
      </c>
      <c r="C138">
        <v>560102</v>
      </c>
      <c r="D138" t="s">
        <v>30</v>
      </c>
      <c r="E138" t="s">
        <v>24</v>
      </c>
      <c r="F138" t="s">
        <v>62</v>
      </c>
      <c r="G138" s="3">
        <v>370</v>
      </c>
      <c r="H138" s="3">
        <v>276</v>
      </c>
      <c r="I138" s="4">
        <f>(Data[[#This Row],[MRP (₹)]]-Data[[#This Row],[Selling Price (₹)]])/Data[[#This Row],[MRP (₹)]]</f>
        <v>0.25405405405405407</v>
      </c>
      <c r="J138" t="s">
        <v>15</v>
      </c>
      <c r="K138" s="2">
        <v>18</v>
      </c>
    </row>
    <row r="139" spans="1:11" x14ac:dyDescent="0.3">
      <c r="A139" s="5">
        <v>46084.460416666669</v>
      </c>
      <c r="B139" t="s">
        <v>33</v>
      </c>
      <c r="C139">
        <v>560102</v>
      </c>
      <c r="D139" t="s">
        <v>30</v>
      </c>
      <c r="E139" t="s">
        <v>25</v>
      </c>
      <c r="F139" t="s">
        <v>53</v>
      </c>
      <c r="G139" s="3">
        <v>135</v>
      </c>
      <c r="H139" s="3">
        <v>135</v>
      </c>
      <c r="I139" s="4">
        <f>(Data[[#This Row],[MRP (₹)]]-Data[[#This Row],[Selling Price (₹)]])/Data[[#This Row],[MRP (₹)]]</f>
        <v>0</v>
      </c>
      <c r="J139" t="s">
        <v>15</v>
      </c>
      <c r="K139" s="2">
        <v>18</v>
      </c>
    </row>
    <row r="140" spans="1:11" x14ac:dyDescent="0.3">
      <c r="A140" s="5">
        <v>46084.460416666669</v>
      </c>
      <c r="B140" t="s">
        <v>33</v>
      </c>
      <c r="C140">
        <v>560102</v>
      </c>
      <c r="D140" t="s">
        <v>30</v>
      </c>
      <c r="E140" t="s">
        <v>26</v>
      </c>
      <c r="F140" t="s">
        <v>54</v>
      </c>
      <c r="G140" s="3">
        <v>1299</v>
      </c>
      <c r="H140" s="3">
        <v>844</v>
      </c>
      <c r="I140" s="4">
        <f>(Data[[#This Row],[MRP (₹)]]-Data[[#This Row],[Selling Price (₹)]])/Data[[#This Row],[MRP (₹)]]</f>
        <v>0.35026943802925325</v>
      </c>
      <c r="J140" t="s">
        <v>15</v>
      </c>
      <c r="K140" s="2">
        <v>18</v>
      </c>
    </row>
    <row r="141" spans="1:11" ht="50.4" customHeight="1" x14ac:dyDescent="0.3">
      <c r="A141" s="5">
        <v>46084.460416666669</v>
      </c>
      <c r="B141" t="s">
        <v>33</v>
      </c>
      <c r="C141">
        <v>560102</v>
      </c>
      <c r="D141" t="s">
        <v>30</v>
      </c>
      <c r="E141" t="s">
        <v>27</v>
      </c>
      <c r="F141" t="s">
        <v>55</v>
      </c>
      <c r="G141" s="3">
        <v>319</v>
      </c>
      <c r="H141" s="3">
        <v>239</v>
      </c>
      <c r="I141" s="4">
        <f>(Data[[#This Row],[MRP (₹)]]-Data[[#This Row],[Selling Price (₹)]])/Data[[#This Row],[MRP (₹)]]</f>
        <v>0.2507836990595611</v>
      </c>
      <c r="J141" t="s">
        <v>15</v>
      </c>
      <c r="K141" s="2">
        <v>18</v>
      </c>
    </row>
    <row r="142" spans="1:11" ht="21" customHeight="1" x14ac:dyDescent="0.3">
      <c r="A142" s="5">
        <v>46084.464583333334</v>
      </c>
      <c r="B142" t="s">
        <v>33</v>
      </c>
      <c r="C142">
        <v>560041</v>
      </c>
      <c r="D142" t="s">
        <v>31</v>
      </c>
      <c r="E142" t="s">
        <v>13</v>
      </c>
      <c r="F142" t="s">
        <v>56</v>
      </c>
      <c r="G142" s="3">
        <v>435</v>
      </c>
      <c r="H142" s="3">
        <v>324</v>
      </c>
      <c r="I142" s="4">
        <f>(Data[[#This Row],[MRP (₹)]]-Data[[#This Row],[Selling Price (₹)]])/Data[[#This Row],[MRP (₹)]]</f>
        <v>0.25517241379310346</v>
      </c>
      <c r="J142" t="s">
        <v>15</v>
      </c>
      <c r="K142" s="2">
        <v>12</v>
      </c>
    </row>
    <row r="143" spans="1:11" x14ac:dyDescent="0.3">
      <c r="A143" s="5">
        <v>46084.464583333334</v>
      </c>
      <c r="B143" t="s">
        <v>33</v>
      </c>
      <c r="C143">
        <v>560041</v>
      </c>
      <c r="D143" t="s">
        <v>31</v>
      </c>
      <c r="E143" t="s">
        <v>16</v>
      </c>
      <c r="F143" t="s">
        <v>57</v>
      </c>
      <c r="G143" s="3">
        <v>899</v>
      </c>
      <c r="H143" s="3">
        <v>548</v>
      </c>
      <c r="I143" s="4">
        <f>(Data[[#This Row],[MRP (₹)]]-Data[[#This Row],[Selling Price (₹)]])/Data[[#This Row],[MRP (₹)]]</f>
        <v>0.39043381535038935</v>
      </c>
      <c r="J143" t="s">
        <v>15</v>
      </c>
      <c r="K143" s="2">
        <v>12</v>
      </c>
    </row>
    <row r="144" spans="1:11" x14ac:dyDescent="0.3">
      <c r="A144" s="5">
        <v>46084.464583333334</v>
      </c>
      <c r="B144" t="s">
        <v>33</v>
      </c>
      <c r="C144">
        <v>560041</v>
      </c>
      <c r="D144" t="s">
        <v>31</v>
      </c>
      <c r="E144" t="s">
        <v>17</v>
      </c>
      <c r="F144" t="s">
        <v>58</v>
      </c>
      <c r="G144" s="3">
        <v>479</v>
      </c>
      <c r="H144" s="3">
        <v>345</v>
      </c>
      <c r="I144" s="4">
        <f>(Data[[#This Row],[MRP (₹)]]-Data[[#This Row],[Selling Price (₹)]])/Data[[#This Row],[MRP (₹)]]</f>
        <v>0.27974947807933193</v>
      </c>
      <c r="J144" t="s">
        <v>15</v>
      </c>
      <c r="K144" s="2">
        <v>12</v>
      </c>
    </row>
    <row r="145" spans="1:11" x14ac:dyDescent="0.3">
      <c r="A145" s="5">
        <v>46084.464583333334</v>
      </c>
      <c r="B145" t="s">
        <v>33</v>
      </c>
      <c r="C145">
        <v>560041</v>
      </c>
      <c r="D145" t="s">
        <v>31</v>
      </c>
      <c r="E145" t="s">
        <v>19</v>
      </c>
      <c r="F145" t="s">
        <v>59</v>
      </c>
      <c r="G145" s="3">
        <v>340</v>
      </c>
      <c r="H145" s="3">
        <v>254</v>
      </c>
      <c r="I145" s="4">
        <f>(Data[[#This Row],[MRP (₹)]]-Data[[#This Row],[Selling Price (₹)]])/Data[[#This Row],[MRP (₹)]]</f>
        <v>0.25294117647058822</v>
      </c>
      <c r="J145" t="s">
        <v>15</v>
      </c>
      <c r="K145" s="2">
        <v>12</v>
      </c>
    </row>
    <row r="146" spans="1:11" x14ac:dyDescent="0.3">
      <c r="A146" s="5">
        <v>46084.464583333334</v>
      </c>
      <c r="B146" t="s">
        <v>33</v>
      </c>
      <c r="C146">
        <v>560041</v>
      </c>
      <c r="D146" t="s">
        <v>31</v>
      </c>
      <c r="E146" t="s">
        <v>21</v>
      </c>
      <c r="F146" t="s">
        <v>60</v>
      </c>
      <c r="G146" s="3">
        <v>865</v>
      </c>
      <c r="H146" s="3">
        <v>476</v>
      </c>
      <c r="I146" s="4">
        <f>(Data[[#This Row],[MRP (₹)]]-Data[[#This Row],[Selling Price (₹)]])/Data[[#This Row],[MRP (₹)]]</f>
        <v>0.44971098265895953</v>
      </c>
      <c r="J146" t="s">
        <v>15</v>
      </c>
      <c r="K146" s="2">
        <v>12</v>
      </c>
    </row>
    <row r="147" spans="1:11" x14ac:dyDescent="0.3">
      <c r="A147" s="5">
        <v>46084.464583333334</v>
      </c>
      <c r="B147" t="s">
        <v>33</v>
      </c>
      <c r="C147">
        <v>560041</v>
      </c>
      <c r="D147" t="s">
        <v>31</v>
      </c>
      <c r="E147" t="s">
        <v>22</v>
      </c>
      <c r="F147" t="s">
        <v>61</v>
      </c>
      <c r="G147" s="3">
        <v>190</v>
      </c>
      <c r="H147" s="3">
        <v>180</v>
      </c>
      <c r="I147" s="4">
        <f>(Data[[#This Row],[MRP (₹)]]-Data[[#This Row],[Selling Price (₹)]])/Data[[#This Row],[MRP (₹)]]</f>
        <v>5.2631578947368418E-2</v>
      </c>
      <c r="J147" t="s">
        <v>15</v>
      </c>
      <c r="K147" s="2">
        <v>12</v>
      </c>
    </row>
    <row r="148" spans="1:11" x14ac:dyDescent="0.3">
      <c r="A148" s="5">
        <v>46084.464583333334</v>
      </c>
      <c r="B148" t="s">
        <v>33</v>
      </c>
      <c r="C148">
        <v>560041</v>
      </c>
      <c r="D148" t="s">
        <v>31</v>
      </c>
      <c r="E148" t="s">
        <v>24</v>
      </c>
      <c r="F148" t="s">
        <v>62</v>
      </c>
      <c r="G148" s="3">
        <v>370</v>
      </c>
      <c r="H148" s="3">
        <v>276</v>
      </c>
      <c r="I148" s="4">
        <f>(Data[[#This Row],[MRP (₹)]]-Data[[#This Row],[Selling Price (₹)]])/Data[[#This Row],[MRP (₹)]]</f>
        <v>0.25405405405405407</v>
      </c>
      <c r="J148" t="s">
        <v>15</v>
      </c>
      <c r="K148" s="2">
        <v>12</v>
      </c>
    </row>
    <row r="149" spans="1:11" x14ac:dyDescent="0.3">
      <c r="A149" s="5">
        <v>46084.464583333334</v>
      </c>
      <c r="B149" t="s">
        <v>33</v>
      </c>
      <c r="C149">
        <v>560041</v>
      </c>
      <c r="D149" t="s">
        <v>31</v>
      </c>
      <c r="E149" t="s">
        <v>25</v>
      </c>
      <c r="F149" t="s">
        <v>53</v>
      </c>
      <c r="G149" s="3">
        <v>135</v>
      </c>
      <c r="H149" s="3">
        <v>135</v>
      </c>
      <c r="I149" s="4">
        <f>(Data[[#This Row],[MRP (₹)]]-Data[[#This Row],[Selling Price (₹)]])/Data[[#This Row],[MRP (₹)]]</f>
        <v>0</v>
      </c>
      <c r="J149" t="s">
        <v>15</v>
      </c>
      <c r="K149" s="2">
        <v>12</v>
      </c>
    </row>
    <row r="150" spans="1:11" x14ac:dyDescent="0.3">
      <c r="A150" s="5">
        <v>46084.464583333334</v>
      </c>
      <c r="B150" t="s">
        <v>33</v>
      </c>
      <c r="C150">
        <v>560041</v>
      </c>
      <c r="D150" t="s">
        <v>31</v>
      </c>
      <c r="E150" t="s">
        <v>26</v>
      </c>
      <c r="F150" t="s">
        <v>54</v>
      </c>
      <c r="G150" s="3">
        <v>1299</v>
      </c>
      <c r="H150" s="3">
        <v>844</v>
      </c>
      <c r="I150" s="4">
        <f>(Data[[#This Row],[MRP (₹)]]-Data[[#This Row],[Selling Price (₹)]])/Data[[#This Row],[MRP (₹)]]</f>
        <v>0.35026943802925325</v>
      </c>
      <c r="J150" t="s">
        <v>15</v>
      </c>
      <c r="K150" s="2">
        <v>12</v>
      </c>
    </row>
    <row r="151" spans="1:11" ht="27" customHeight="1" x14ac:dyDescent="0.3">
      <c r="A151" s="5">
        <v>46084.464583333334</v>
      </c>
      <c r="B151" t="s">
        <v>33</v>
      </c>
      <c r="C151">
        <v>560041</v>
      </c>
      <c r="D151" t="s">
        <v>31</v>
      </c>
      <c r="E151" t="s">
        <v>27</v>
      </c>
      <c r="F151" t="s">
        <v>55</v>
      </c>
      <c r="G151" s="3">
        <v>319</v>
      </c>
      <c r="H151" s="3">
        <v>239</v>
      </c>
      <c r="I151" s="4">
        <f>(Data[[#This Row],[MRP (₹)]]-Data[[#This Row],[Selling Price (₹)]])/Data[[#This Row],[MRP (₹)]]</f>
        <v>0.2507836990595611</v>
      </c>
      <c r="J151" t="s">
        <v>15</v>
      </c>
      <c r="K151" s="2">
        <v>12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I23" sqref="I23"/>
    </sheetView>
  </sheetViews>
  <sheetFormatPr defaultRowHeight="14.4" x14ac:dyDescent="0.3"/>
  <cols>
    <col min="1" max="1" width="15.44140625" bestFit="1" customWidth="1"/>
    <col min="2" max="2" width="13.21875" customWidth="1"/>
    <col min="3" max="3" width="19.109375" customWidth="1"/>
    <col min="4" max="4" width="19.21875" customWidth="1"/>
    <col min="5" max="5" width="17.109375" customWidth="1"/>
    <col min="6" max="6" width="19.33203125" customWidth="1"/>
  </cols>
  <sheetData>
    <row r="1" spans="1:6" x14ac:dyDescent="0.3">
      <c r="A1" s="1" t="s">
        <v>4</v>
      </c>
      <c r="B1" s="1" t="s">
        <v>63</v>
      </c>
      <c r="C1" s="1" t="s">
        <v>35</v>
      </c>
      <c r="D1" s="1" t="s">
        <v>36</v>
      </c>
      <c r="E1" s="1" t="s">
        <v>37</v>
      </c>
      <c r="F1" s="1" t="s">
        <v>38</v>
      </c>
    </row>
    <row r="2" spans="1:6" x14ac:dyDescent="0.3">
      <c r="A2" t="s">
        <v>19</v>
      </c>
      <c r="B2">
        <f>COUNTIF(Data[Brand],Brand[[#This Row],[Brand]])</f>
        <v>15</v>
      </c>
      <c r="C2">
        <f>COUNTA(_xlfn.UNIQUE(Data[Platform]))</f>
        <v>3</v>
      </c>
      <c r="D2">
        <f>COUNTA(_xlfn.UNIQUE(Data[Pin Code]))</f>
        <v>5</v>
      </c>
      <c r="E2" s="4">
        <f>AVERAGEIF(Data[Brand],Brand[[#This Row],[Brand]],Data[Discount (%)])</f>
        <v>0.16862745098039214</v>
      </c>
      <c r="F2">
        <f>COUNTIFS(Data[Brand],Brand[[#This Row],[Brand]], Data[Stock Status],"Out of Stock")</f>
        <v>0</v>
      </c>
    </row>
    <row r="3" spans="1:6" x14ac:dyDescent="0.3">
      <c r="A3" t="s">
        <v>13</v>
      </c>
      <c r="B3">
        <f>COUNTIF(Data[Brand],Brand[[#This Row],[Brand]])</f>
        <v>15</v>
      </c>
      <c r="C3">
        <f>COUNTA(_xlfn.UNIQUE(Data[Platform]))</f>
        <v>3</v>
      </c>
      <c r="D3">
        <f>COUNTA(_xlfn.UNIQUE(Data[Pin Code]))</f>
        <v>5</v>
      </c>
      <c r="E3" s="4">
        <f>AVERAGEIF(Data[Brand],Brand[[#This Row],[Brand]],Data[Discount (%)])</f>
        <v>0.19530874097834797</v>
      </c>
      <c r="F3">
        <f>COUNTIFS(Data[Brand],Brand[[#This Row],[Brand]], Data[Stock Status],"Out of Stock")</f>
        <v>0</v>
      </c>
    </row>
    <row r="4" spans="1:6" x14ac:dyDescent="0.3">
      <c r="A4" t="s">
        <v>17</v>
      </c>
      <c r="B4">
        <f>COUNTIF(Data[Brand],Brand[[#This Row],[Brand]])</f>
        <v>15</v>
      </c>
      <c r="C4">
        <f>COUNTA(_xlfn.UNIQUE(Data[Platform]))</f>
        <v>3</v>
      </c>
      <c r="D4">
        <f>COUNTA(_xlfn.UNIQUE(Data[Pin Code]))</f>
        <v>5</v>
      </c>
      <c r="E4" s="4">
        <f>AVERAGEIF(Data[Brand],Brand[[#This Row],[Brand]],Data[Discount (%)])</f>
        <v>0.21442532376831788</v>
      </c>
      <c r="F4">
        <f>COUNTIFS(Data[Brand],Brand[[#This Row],[Brand]], Data[Stock Status],"Out of Stock")</f>
        <v>0</v>
      </c>
    </row>
    <row r="5" spans="1:6" x14ac:dyDescent="0.3">
      <c r="A5" t="s">
        <v>27</v>
      </c>
      <c r="B5">
        <f>COUNTIF(Data[Brand],Brand[[#This Row],[Brand]])</f>
        <v>15</v>
      </c>
      <c r="C5">
        <f>COUNTA(_xlfn.UNIQUE(Data[Platform]))</f>
        <v>3</v>
      </c>
      <c r="D5">
        <f>COUNTA(_xlfn.UNIQUE(Data[Pin Code]))</f>
        <v>5</v>
      </c>
      <c r="E5" s="4">
        <f>AVERAGEIF(Data[Brand],Brand[[#This Row],[Brand]],Data[Discount (%)])</f>
        <v>0.24346917450365721</v>
      </c>
      <c r="F5">
        <f>COUNTIFS(Data[Brand],Brand[[#This Row],[Brand]], Data[Stock Status],"Out of Stock")</f>
        <v>0</v>
      </c>
    </row>
    <row r="6" spans="1:6" x14ac:dyDescent="0.3">
      <c r="A6" t="s">
        <v>25</v>
      </c>
      <c r="B6">
        <f>COUNTIF(Data[Brand],Brand[[#This Row],[Brand]])</f>
        <v>15</v>
      </c>
      <c r="C6">
        <f>COUNTA(_xlfn.UNIQUE(Data[Platform]))</f>
        <v>3</v>
      </c>
      <c r="D6">
        <f>COUNTA(_xlfn.UNIQUE(Data[Pin Code]))</f>
        <v>5</v>
      </c>
      <c r="E6" s="4">
        <f>AVERAGEIF(Data[Brand],Brand[[#This Row],[Brand]],Data[Discount (%)])</f>
        <v>7.4074074074074077E-3</v>
      </c>
      <c r="F6">
        <f>COUNTIFS(Data[Brand],Brand[[#This Row],[Brand]], Data[Stock Status],"Out of Stock")</f>
        <v>0</v>
      </c>
    </row>
    <row r="7" spans="1:6" x14ac:dyDescent="0.3">
      <c r="A7" t="s">
        <v>22</v>
      </c>
      <c r="B7">
        <f>COUNTIF(Data[Brand],Brand[[#This Row],[Brand]])</f>
        <v>15</v>
      </c>
      <c r="C7">
        <f>COUNTA(_xlfn.UNIQUE(Data[Platform]))</f>
        <v>3</v>
      </c>
      <c r="D7">
        <f>COUNTA(_xlfn.UNIQUE(Data[Pin Code]))</f>
        <v>5</v>
      </c>
      <c r="E7" s="4">
        <f>AVERAGEIF(Data[Brand],Brand[[#This Row],[Brand]],Data[Discount (%)])</f>
        <v>0.22075671105474534</v>
      </c>
      <c r="F7">
        <f>COUNTIFS(Data[Brand],Brand[[#This Row],[Brand]], Data[Stock Status],"Out of Stock")</f>
        <v>0</v>
      </c>
    </row>
    <row r="8" spans="1:6" x14ac:dyDescent="0.3">
      <c r="A8" t="s">
        <v>26</v>
      </c>
      <c r="B8">
        <f>COUNTIF(Data[Brand],Brand[[#This Row],[Brand]])</f>
        <v>15</v>
      </c>
      <c r="C8">
        <f>COUNTA(_xlfn.UNIQUE(Data[Platform]))</f>
        <v>3</v>
      </c>
      <c r="D8">
        <f>COUNTA(_xlfn.UNIQUE(Data[Pin Code]))</f>
        <v>5</v>
      </c>
      <c r="E8" s="4">
        <f>AVERAGEIF(Data[Brand],Brand[[#This Row],[Brand]],Data[Discount (%)])</f>
        <v>0.24454708750320758</v>
      </c>
      <c r="F8">
        <f>COUNTIFS(Data[Brand],Brand[[#This Row],[Brand]], Data[Stock Status],"Out of Stock")</f>
        <v>0</v>
      </c>
    </row>
    <row r="9" spans="1:6" x14ac:dyDescent="0.3">
      <c r="A9" t="s">
        <v>16</v>
      </c>
      <c r="B9">
        <f>COUNTIF(Data[Brand],Brand[[#This Row],[Brand]])</f>
        <v>15</v>
      </c>
      <c r="C9">
        <f>COUNTA(_xlfn.UNIQUE(Data[Platform]))</f>
        <v>3</v>
      </c>
      <c r="D9">
        <f>COUNTA(_xlfn.UNIQUE(Data[Pin Code]))</f>
        <v>5</v>
      </c>
      <c r="E9" s="4">
        <f>AVERAGEIF(Data[Brand],Brand[[#This Row],[Brand]],Data[Discount (%)])</f>
        <v>0.40186226741240932</v>
      </c>
      <c r="F9">
        <f>COUNTIFS(Data[Brand],Brand[[#This Row],[Brand]], Data[Stock Status],"Out of Stock")</f>
        <v>0</v>
      </c>
    </row>
    <row r="10" spans="1:6" x14ac:dyDescent="0.3">
      <c r="A10" t="s">
        <v>24</v>
      </c>
      <c r="B10">
        <f>COUNTIF(Data[Brand],Brand[[#This Row],[Brand]])</f>
        <v>15</v>
      </c>
      <c r="C10">
        <f>COUNTA(_xlfn.UNIQUE(Data[Platform]))</f>
        <v>3</v>
      </c>
      <c r="D10">
        <f>COUNTA(_xlfn.UNIQUE(Data[Pin Code]))</f>
        <v>5</v>
      </c>
      <c r="E10" s="4">
        <f>AVERAGEIF(Data[Brand],Brand[[#This Row],[Brand]],Data[Discount (%)])</f>
        <v>0.19468582506557192</v>
      </c>
      <c r="F10">
        <f>COUNTIFS(Data[Brand],Brand[[#This Row],[Brand]], Data[Stock Status],"Out of Stock")</f>
        <v>0</v>
      </c>
    </row>
    <row r="11" spans="1:6" x14ac:dyDescent="0.3">
      <c r="A11" t="s">
        <v>21</v>
      </c>
      <c r="B11">
        <f>COUNTIF(Data[Brand],Brand[[#This Row],[Brand]])</f>
        <v>15</v>
      </c>
      <c r="C11">
        <f>COUNTA(_xlfn.UNIQUE(Data[Platform]))</f>
        <v>3</v>
      </c>
      <c r="D11">
        <f>COUNTA(_xlfn.UNIQUE(Data[Pin Code]))</f>
        <v>5</v>
      </c>
      <c r="E11" s="4">
        <f>AVERAGEIF(Data[Brand],Brand[[#This Row],[Brand]],Data[Discount (%)])</f>
        <v>0.1770354438320563</v>
      </c>
      <c r="F11">
        <f>COUNTIFS(Data[Brand],Brand[[#This Row],[Brand]], Data[Stock Status],"Out of Stock")</f>
        <v>0</v>
      </c>
    </row>
  </sheetData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tabSelected="1" workbookViewId="0">
      <selection activeCell="G15" sqref="G15"/>
    </sheetView>
  </sheetViews>
  <sheetFormatPr defaultRowHeight="14.4" x14ac:dyDescent="0.3"/>
  <cols>
    <col min="1" max="1" width="14.88671875" bestFit="1" customWidth="1"/>
    <col min="2" max="2" width="21.44140625" customWidth="1"/>
    <col min="3" max="3" width="11.77734375" customWidth="1"/>
    <col min="4" max="4" width="17.109375" customWidth="1"/>
    <col min="5" max="5" width="21.21875" customWidth="1"/>
    <col min="11" max="11" width="8.33203125" bestFit="1" customWidth="1"/>
    <col min="12" max="12" width="19.77734375" bestFit="1" customWidth="1"/>
    <col min="13" max="13" width="9.88671875" bestFit="1" customWidth="1"/>
  </cols>
  <sheetData>
    <row r="1" spans="1:5" x14ac:dyDescent="0.3">
      <c r="A1" s="6" t="s">
        <v>1</v>
      </c>
      <c r="B1" s="6" t="s">
        <v>39</v>
      </c>
      <c r="C1" s="6" t="s">
        <v>34</v>
      </c>
      <c r="D1" s="6" t="s">
        <v>37</v>
      </c>
      <c r="E1" s="6" t="s">
        <v>40</v>
      </c>
    </row>
    <row r="2" spans="1:5" x14ac:dyDescent="0.3">
      <c r="A2" s="7" t="s">
        <v>11</v>
      </c>
      <c r="B2" cm="1">
        <f t="array" ref="B2">COUNTA(_xlfn.UNIQUE(_xlfn._xlws.FILTER(Data[Brand],Data[Platform]=Table4[[#This Row],[Platform]])))</f>
        <v>10</v>
      </c>
      <c r="C2">
        <f>COUNTIF(Data[Platform],Table4[[#This Row],[Platform]])</f>
        <v>50</v>
      </c>
      <c r="D2" s="4">
        <f>AVERAGEIF(Data[Platform],Table4[[#This Row],[Platform]],Data[Discount (%)])</f>
        <v>0.19261565470338834</v>
      </c>
      <c r="E2">
        <f>COUNTIFS(Data[Platform],Table4[[#This Row],[Platform]],Data[Stock Status],"Out of Stock")</f>
        <v>0</v>
      </c>
    </row>
    <row r="3" spans="1:5" x14ac:dyDescent="0.3">
      <c r="A3" s="8" t="s">
        <v>32</v>
      </c>
      <c r="B3" cm="1">
        <f t="array" ref="B3">COUNTA(_xlfn.UNIQUE(_xlfn._xlws.FILTER(Data[Brand],Data[Platform]=Table4[[#This Row],[Platform]])))</f>
        <v>10</v>
      </c>
      <c r="C3">
        <f>COUNTIF(Data[Platform],Table4[[#This Row],[Platform]])</f>
        <v>50</v>
      </c>
      <c r="D3" s="4">
        <f>AVERAGEIF(Data[Platform],Table4[[#This Row],[Platform]],Data[Discount (%)])</f>
        <v>0.17424731140418459</v>
      </c>
      <c r="E3">
        <f>COUNTIFS(Data[Platform],Table4[[#This Row],[Platform]],Data[Stock Status],"Out of Stock")</f>
        <v>0</v>
      </c>
    </row>
    <row r="4" spans="1:5" x14ac:dyDescent="0.3">
      <c r="A4" s="9" t="s">
        <v>33</v>
      </c>
      <c r="B4" cm="1">
        <f t="array" ref="B4">COUNTA(_xlfn.UNIQUE(_xlfn._xlws.FILTER(Data[Brand],Data[Platform]=Table4[[#This Row],[Platform]])))</f>
        <v>10</v>
      </c>
      <c r="C4">
        <f>COUNTIF(Data[Platform],Table4[[#This Row],[Platform]])</f>
        <v>50</v>
      </c>
      <c r="D4" s="4">
        <f>AVERAGEIF(Data[Platform],Table4[[#This Row],[Platform]],Data[Discount (%)])</f>
        <v>0.25357466364426079</v>
      </c>
      <c r="E4">
        <f>COUNTIFS(Data[Platform],Table4[[#This Row],[Platform]],Data[Stock Status],"Out of Stock")</f>
        <v>0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Brand Summary</vt:lpstr>
      <vt:lpstr>Platform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Abzal hussain Shaik Maddubai Gari</cp:lastModifiedBy>
  <dcterms:created xsi:type="dcterms:W3CDTF">2026-03-03T06:57:03Z</dcterms:created>
  <dcterms:modified xsi:type="dcterms:W3CDTF">2026-03-03T16:59:27Z</dcterms:modified>
</cp:coreProperties>
</file>